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Start" state="visible" r:id="rId4"/>
    <sheet sheetId="2" name="Risicoregister" state="visible" r:id="rId5"/>
    <sheet sheetId="3" name="Criteria" state="visible" r:id="rId6"/>
    <sheet sheetId="4" name="Overzicht" state="visible" r:id="rId7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t>Vast nummer per risico, zodat u in het behandelplan en de verklaring van toepasselijkheid ernaar kunt verwijzen.</t>
        </r>
      </text>
    </comment>
    <comment ref="B3" authorId="0">
      <text>
        <r>
          <t>Waarop het risico betrekking heeft: een systeem, een proces, informatie of een locatie binnen de reikwijdte. (ISO/IEC 27001:2022 4.3)</t>
        </r>
      </text>
    </comment>
    <comment ref="C3" authorId="0">
      <text>
        <r>
          <t>Wat er kan gebeuren, bijvoorbeeld phishing, uitval van de leverancier of verlies van een laptop. (ISO/IEC 27001:2022 6.1.2 c)</t>
        </r>
      </text>
    </comment>
    <comment ref="D3" authorId="0">
      <text>
        <r>
          <t>Waardoor de dreiging kan slagen, bijvoorbeeld geen meerfactorauthenticatie of geen back-up buiten het netwerk. (ISO/IEC 27001:2022 6.1.2 c)</t>
        </r>
      </text>
    </comment>
    <comment ref="E3" authorId="0">
      <text>
        <r>
          <t>Of het risico de vertrouwelijkheid, de integriteit of de beschikbaarheid van informatie raakt. (ISO/IEC 27001:2022 6.1.2 c)</t>
        </r>
      </text>
    </comment>
    <comment ref="F3" authorId="0">
      <text>
        <r>
          <t>De persoon die over het risico beslist en het restrisico accepteert. (ISO/IEC 27001:2022 6.1.2 c, 6.1.3 f)</t>
        </r>
      </text>
    </comment>
    <comment ref="G3" authorId="0">
      <text>
        <r>
          <t>Hoe waarschijnlijk het is, volgens de schaal op het blad Criteria. (ISO/IEC 27001:2022 6.1.2 d)</t>
        </r>
      </text>
    </comment>
    <comment ref="H3" authorId="0">
      <text>
        <r>
          <t>Hoe ernstig de gevolgen zijn, volgens de schaal op het blad Criteria. (ISO/IEC 27001:2022 6.1.2 d)</t>
        </r>
      </text>
    </comment>
    <comment ref="I3" authorId="0">
      <text>
        <r>
          <t>Kans maal impact; rekent de Excel zelf uit. (ISO/IEC 27001:2022 6.1.2 d)</t>
        </r>
      </text>
    </comment>
    <comment ref="J3" authorId="0">
      <text>
        <r>
          <t>Laag, midden, hoog of zeer hoog volgens de grenzen op het blad Criteria; rekent de Excel zelf uit. (ISO/IEC 27001:2022 6.1.2 e)</t>
        </r>
      </text>
    </comment>
    <comment ref="K3" authorId="0">
      <text>
        <r>
          <t>Verminderen, vermijden, delen of accepteren. (ISO/IEC 27001:2022 6.1.3 a)</t>
        </r>
      </text>
    </comment>
    <comment ref="L3" authorId="0">
      <text>
        <r>
          <t>Welke maatregelen u neemt, met het nummer uit bijlage A (bijvoorbeeld A.8.13 back-up). Neem ze over in de verklaring van toepasselijkheid. (ISO/IEC 27001:2022 6.1.3 b, c, d)</t>
        </r>
      </text>
    </comment>
    <comment ref="M3" authorId="0">
      <text>
        <r>
          <t>Wat er nog moet gebeuren, door wie en wanneer: het risicobehandelplan. (ISO/IEC 27001:2022 6.1.3 e, 8.3)</t>
        </r>
      </text>
    </comment>
    <comment ref="N3" authorId="0">
      <text>
        <r>
          <t>De kans na de maatregelen. (ISO/IEC 27001:2022 6.1.3)</t>
        </r>
      </text>
    </comment>
    <comment ref="O3" authorId="0">
      <text>
        <r>
          <t>De impact na de maatregelen. (ISO/IEC 27001:2022 6.1.3)</t>
        </r>
      </text>
    </comment>
    <comment ref="P3" authorId="0">
      <text>
        <r>
          <t>Restkans maal restimpact, met het niveau; rekent de Excel zelf uit. (ISO/IEC 27001:2022 6.1.3)</t>
        </r>
      </text>
    </comment>
    <comment ref="Q3" authorId="0">
      <text>
        <r>
          <t>Akkoord van de risico-eigenaar op het plan en het restrisico, met datum. (ISO/IEC 27001:2022 6.1.3 f)</t>
        </r>
      </text>
    </comment>
    <comment ref="R3" authorId="0">
      <text>
        <r>
          <t>Wanneer u het risico opnieuw bekijkt, en in elk geval bij een grote wijziging. (ISO/IEC 27001:2022 8.2)</t>
        </r>
      </text>
    </comment>
  </commentList>
</comments>
</file>

<file path=xl/sharedStrings.xml><?xml version="1.0" encoding="utf-8"?>
<sst xmlns="http://schemas.openxmlformats.org/spreadsheetml/2006/main" count="263" uniqueCount="215">
  <si>
    <t>ISO 27001 · GRATIS SJABLOON</t>
  </si>
  <si>
    <t>Risicoanalyse ISO 27001</t>
  </si>
  <si>
    <t>Een risicoregister voor de risicobeoordeling en risicobehandeling van ISO 27001: per risico de dreiging, de kans en de impact, het risiconiveau (rekent de Excel zelf uit), de behandeling, de maatregelen uit bijlage A en het restrisico, met 18 kolommen. Versie 1.0, 18 oktober 2026.</t>
  </si>
  <si>
    <t>ZO GEBRUIKT U DEZE RISICOANALYSE</t>
  </si>
  <si>
    <t>1. Criteria</t>
  </si>
  <si>
    <t>Leg op het blad Criteria vast hoe u kans en impact beoordeelt en welk niveau u accepteert (6.1.2 a). Gebruik ze daarna steeds hetzelfde (6.1.2 b).</t>
  </si>
  <si>
    <t>2. Risico's</t>
  </si>
  <si>
    <t>Noteer op het blad Risicoregister per bedrijfsmiddel of proces de dreiging, de kwetsbaarheid, het gevolg en de risico-eigenaar (6.1.2 c).</t>
  </si>
  <si>
    <t>3. Beoordelen</t>
  </si>
  <si>
    <t>Kies de kans en de impact (1-5). Risico en niveau rekent de Excel zelf uit (6.1.2 d en e).</t>
  </si>
  <si>
    <t>4. Behandelen</t>
  </si>
  <si>
    <t>Kies de behandeling, de maatregelen uit bijlage A en de actie met datum; vul restkans en restimpact in en laat de eigenaar het restrisico accepteren (6.1.3).</t>
  </si>
  <si>
    <t>5. Herhalen</t>
  </si>
  <si>
    <t>Bekijk het register met geplande tussenpozen en bij grote wijzigingen opnieuw (8.2). Het blad Overzicht telt de risico's per niveau.</t>
  </si>
  <si>
    <t>KANT-EN-KLAAR</t>
  </si>
  <si>
    <t>Procedure en register</t>
  </si>
  <si>
    <t>In de ISO 27001 Toolkit staan ISB-P01 Procedure risicomanagement, RSK-002 Risicoregister en behandelplan, ISB-001 Verklaring van toepasselijkheid, naast 53 andere documenten, met een ingevuld voorbeeld.</t>
  </si>
  <si>
    <t>Meer informatie</t>
  </si>
  <si>
    <t>https://www.maasiso.nl/toolkits/iso-27001/</t>
  </si>
  <si>
    <t>GOED OM TE WETEN</t>
  </si>
  <si>
    <t>Clausules</t>
  </si>
  <si>
    <t>De risicobeoordeling staat in 6.1.2 van ISO/IEC 27001:2022, de risicobehandeling in 6.1.3; uitvoeren doet u volgens 8.2 en 8.3, met geplande tussenpozen en bij grote wijzigingen.</t>
  </si>
  <si>
    <t>Eigen criteria</t>
  </si>
  <si>
    <t>De norm schrijft geen schaal voor: u legt zelf vast hoe u kans en impact beoordeelt en welk risico u accepteert (6.1.2 a). De schalen op het blad Criteria zijn een voorstel; pas ze aan en houd ze daarna vast, zodat de uitkomsten vergelijkbaar blijven (6.1.2 b).</t>
  </si>
  <si>
    <t>Voorbeelden</t>
  </si>
  <si>
    <t>De eerste vijf regels op het blad Risicoregister zijn fictieve voorbeelden. Overschrijf of verwijder ze.</t>
  </si>
  <si>
    <t>Geen normtekst</t>
  </si>
  <si>
    <t>Alle teksten zijn eigen woorden van MaasISO en geen normtekst; de norm zelf is te koop bij NEN.</t>
  </si>
  <si>
    <t>Licentie</t>
  </si>
  <si>
    <t>CC BY 4.0: u mag deze risicoanalyse vrij gebruiken, aanpassen en delen, ook commercieel, met vermelding van "MaasISO" en een link naar https://www.maasiso.nl/gratis-tools/risicoanalyse-iso-27001/</t>
  </si>
  <si>
    <t>maasiso.nl</t>
  </si>
  <si>
    <t>Risicoanalyse ISO 27001 · versie 1.0 · 18 oktober 2026 · maasiso.nl</t>
  </si>
  <si>
    <t>De eerste vijf regels zijn fictieve voorbeelden. Kans, impact, restkans en restimpact: 1 tot en met 5 (blad Criteria). Risico, niveau en restrisico rekent het blad zelf uit. Uitleg in de opmerking bij elke kolomkop.</t>
  </si>
  <si>
    <t>Nr.</t>
  </si>
  <si>
    <t>Bedrijfsmiddel of proces</t>
  </si>
  <si>
    <t>Dreiging</t>
  </si>
  <si>
    <t>Kwetsbaarheid of oorzaak</t>
  </si>
  <si>
    <t>Gevolg voor V, I of B</t>
  </si>
  <si>
    <t>Risico-eigenaar</t>
  </si>
  <si>
    <t>Kans (1-5)</t>
  </si>
  <si>
    <t>Impact (1-5)</t>
  </si>
  <si>
    <t>Risico</t>
  </si>
  <si>
    <t>Niveau</t>
  </si>
  <si>
    <t>Behandeling</t>
  </si>
  <si>
    <t>Maatregelen</t>
  </si>
  <si>
    <t>Actie en datum</t>
  </si>
  <si>
    <t>Restkans</t>
  </si>
  <si>
    <t>Restimpact</t>
  </si>
  <si>
    <t>Restrisico</t>
  </si>
  <si>
    <t>Restrisico geaccepteerd</t>
  </si>
  <si>
    <t>Volgende beoordeling</t>
  </si>
  <si>
    <t>R01</t>
  </si>
  <si>
    <t>E-mail en Microsoft 365</t>
  </si>
  <si>
    <t>Phishing en overname van een account</t>
  </si>
  <si>
    <t>Geen meerfactorauthenticatie voor alle accounts</t>
  </si>
  <si>
    <t>V, I</t>
  </si>
  <si>
    <t>IT-beheerder</t>
  </si>
  <si>
    <t>Verminderen</t>
  </si>
  <si>
    <t>A.8.5 veilige authenticatie, A.6.3 bewustwording</t>
  </si>
  <si>
    <t>MFA voor alle accounts, uiterlijk 1 december</t>
  </si>
  <si>
    <t>Ja, 15 november</t>
  </si>
  <si>
    <t>Mei</t>
  </si>
  <si>
    <t>R02</t>
  </si>
  <si>
    <t>Klantadministratie</t>
  </si>
  <si>
    <t>Ransomware versleutelt bestanden</t>
  </si>
  <si>
    <t>Back-up staat in hetzelfde netwerk</t>
  </si>
  <si>
    <t>B, I</t>
  </si>
  <si>
    <t>Directeur</t>
  </si>
  <si>
    <t>A.8.13 back-up, A.8.7 malware</t>
  </si>
  <si>
    <t>Back-up buiten het netwerk en hersteltest per kwartaal</t>
  </si>
  <si>
    <t>R03</t>
  </si>
  <si>
    <t>Laptops van medewerkers</t>
  </si>
  <si>
    <t>Verlies of diefstal van een laptop</t>
  </si>
  <si>
    <t>Schijf niet versleuteld</t>
  </si>
  <si>
    <t>V</t>
  </si>
  <si>
    <t>Office manager</t>
  </si>
  <si>
    <t>A.8.1 eindapparatuur, A.8.24 cryptografie</t>
  </si>
  <si>
    <t>Versleuteling aanzetten op alle laptops</t>
  </si>
  <si>
    <t>R04</t>
  </si>
  <si>
    <t>Hostingpartij webwinkel</t>
  </si>
  <si>
    <t>Leverancier valt langdurig uit</t>
  </si>
  <si>
    <t>Geen afspraken over beschikbaarheid</t>
  </si>
  <si>
    <t>B</t>
  </si>
  <si>
    <t>Delen</t>
  </si>
  <si>
    <t>A.5.20 afspraken met leveranciers, A.5.30 ICT-continuïteit</t>
  </si>
  <si>
    <t>Beschikbaarheid en herstel opnemen in het contract</t>
  </si>
  <si>
    <t>R05</t>
  </si>
  <si>
    <t>Archiefkast met papieren dossiers</t>
  </si>
  <si>
    <t>Onbevoegde inzage</t>
  </si>
  <si>
    <t>Kast staat open in een gedeelde ruimte</t>
  </si>
  <si>
    <t>Accepteren</t>
  </si>
  <si>
    <t>A.7.7 opgeruimd bureau</t>
  </si>
  <si>
    <t>Geen; opnieuw bekijken bij verhuizing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</si>
  <si>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</si>
  <si>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</si>
  <si>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</si>
  <si>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</si>
  <si>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</si>
  <si>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</si>
  <si>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</si>
  <si>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</si>
  <si>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</si>
  <si>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</si>
  <si>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</si>
  <si>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</si>
  <si>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</si>
  <si>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</si>
  <si>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</si>
  <si>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</si>
  <si>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</si>
  <si>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</si>
  <si>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</si>
  <si>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</si>
  <si>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</si>
  <si>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</si>
  <si>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</si>
  <si>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</si>
  <si>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</si>
  <si>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</si>
  <si>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</si>
  <si>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</si>
  <si>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</si>
  <si>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</si>
  <si>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</si>
  <si>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</si>
  <si>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</si>
  <si>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</si>
  <si>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</si>
  <si>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</si>
  <si>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</si>
  <si>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</si>
  <si>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</si>
  <si>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</si>
  <si>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</si>
  <si>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</si>
  <si>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</si>
  <si>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</si>
  <si>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</si>
  <si>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Criteria voor de risicobeoordeling</t>
  </si>
  <si>
    <t>Een voorstel van MaasISO: ISO 27001 laat de criteria aan de organisatie (6.1.2 a). Pas de omschrijvingen aan uw organisatie aan, laat ze vaststellen en gebruik ze daarna steeds hetzelfde (6.1.2 b).</t>
  </si>
  <si>
    <t>Kans</t>
  </si>
  <si>
    <t>Score</t>
  </si>
  <si>
    <t>Naam</t>
  </si>
  <si>
    <t/>
  </si>
  <si>
    <t>Omschrijving</t>
  </si>
  <si>
    <t>Zeer klein</t>
  </si>
  <si>
    <t>Nog nooit gebeurd en niet te verwachten; minder dan eens in de tien jaar.</t>
  </si>
  <si>
    <t>Klein</t>
  </si>
  <si>
    <t>Kan gebeuren, maar zelden; eens in de vijf tot tien jaar.</t>
  </si>
  <si>
    <t>Mogelijk</t>
  </si>
  <si>
    <t>Komt bij vergelijkbare organisaties voor; eens in de één tot vijf jaar.</t>
  </si>
  <si>
    <t>Waarschijnlijk</t>
  </si>
  <si>
    <t>Gebeurt naar verwachting elk jaar.</t>
  </si>
  <si>
    <t>Bijna zeker</t>
  </si>
  <si>
    <t>Gebeurt meerdere keren per jaar of gebeurt nu al.</t>
  </si>
  <si>
    <t>Impact</t>
  </si>
  <si>
    <t>Verwaarloosbaar</t>
  </si>
  <si>
    <t>Geen merkbare gevolgen voor klanten of werk; binnen een uur opgelost.</t>
  </si>
  <si>
    <t>Kleine verstoring of schade, binnen een dag hersteld; geen persoonsgegevens of vertrouwelijke informatie naar buiten.</t>
  </si>
  <si>
    <t>Merkbaar</t>
  </si>
  <si>
    <t>Werk ligt deels stil of een klant merkt het; beperkte financiële schade of een melding nodig.</t>
  </si>
  <si>
    <t>Ernstig</t>
  </si>
  <si>
    <t>Belangrijke dienst dagen niet beschikbaar, vertrouwelijke gegevens gelekt, forse schade of boete mogelijk.</t>
  </si>
  <si>
    <t>Zeer ernstig</t>
  </si>
  <si>
    <t>Voortbestaan van de organisatie of veiligheid van mensen in gevaar; langdurige uitval of grootschalig datalek.</t>
  </si>
  <si>
    <t>Risicomatrix (kans × impact)</t>
  </si>
  <si>
    <t>Kans \ impact</t>
  </si>
  <si>
    <t>1 Verwaarloosbaar</t>
  </si>
  <si>
    <t>2 Klein</t>
  </si>
  <si>
    <t>3 Merkbaar</t>
  </si>
  <si>
    <t>4 Ernstig</t>
  </si>
  <si>
    <t>5 Zeer ernstig</t>
  </si>
  <si>
    <t>5 Bijna zeker</t>
  </si>
  <si>
    <t>5 · ! Midden</t>
  </si>
  <si>
    <t>10 · ! Hoog</t>
  </si>
  <si>
    <t>15 · ! Hoog</t>
  </si>
  <si>
    <t>20 · ✕ Zeer hoog</t>
  </si>
  <si>
    <t>25 · ✕ Zeer hoog</t>
  </si>
  <si>
    <t>4 Waarschijnlijk</t>
  </si>
  <si>
    <t>4 · ✓ Laag</t>
  </si>
  <si>
    <t>8 · ! Midden</t>
  </si>
  <si>
    <t>12 · ! Hoog</t>
  </si>
  <si>
    <t>16 · ✕ Zeer hoog</t>
  </si>
  <si>
    <t>3 Mogelijk</t>
  </si>
  <si>
    <t>3 · ✓ Laag</t>
  </si>
  <si>
    <t>6 · ! Midden</t>
  </si>
  <si>
    <t>9 · ! Midden</t>
  </si>
  <si>
    <t>2 · ✓ Laag</t>
  </si>
  <si>
    <t>1 Zeer klein</t>
  </si>
  <si>
    <t>1 · ✓ Laag</t>
  </si>
  <si>
    <t>Niveaus en wat u doet</t>
  </si>
  <si>
    <t>Van</t>
  </si>
  <si>
    <t>Tot en met</t>
  </si>
  <si>
    <t>Actie</t>
  </si>
  <si>
    <t>✓ Laag</t>
  </si>
  <si>
    <t>Accepteren mag; vastleggen en bij de volgende beoordeling opnieuw bekijken.</t>
  </si>
  <si>
    <t>! Midden</t>
  </si>
  <si>
    <t>Maatregelen overwegen; accepteren alleen met reden en akkoord van de risico-eigenaar.</t>
  </si>
  <si>
    <t>! Hoog</t>
  </si>
  <si>
    <t>Behandelen met maatregelen en een plan met eigenaar en datum.</t>
  </si>
  <si>
    <t>✕ Zeer hoog</t>
  </si>
  <si>
    <t>Direct behandelen; directie informeren en het risico niet accepteren zonder besluit van de directie.</t>
  </si>
  <si>
    <t>Behandelopties (6.1.3 a)</t>
  </si>
  <si>
    <t>Maatregelen nemen die de kans of de impact verkleinen, bijvoorbeeld uit bijlage A.</t>
  </si>
  <si>
    <t>Vermijden</t>
  </si>
  <si>
    <t>Stoppen met de activiteit of het systeem waar het risico uit voortkomt.</t>
  </si>
  <si>
    <t>Een deel van het risico bij een ander leggen, bijvoorbeeld via een verzekering of een contract met een leverancier.</t>
  </si>
  <si>
    <t>Het risico bewust dragen, met akkoord van de risico-eigenaar (6.1.3 f).</t>
  </si>
  <si>
    <t>Overzicht</t>
  </si>
  <si>
    <t>Wordt automatisch bijgewerkt op basis van het blad Risicoregister.</t>
  </si>
  <si>
    <t>Risico's</t>
  </si>
  <si>
    <t>Na maatregelen</t>
  </si>
  <si>
    <t>Totaal beoordeeld</t>
  </si>
  <si>
    <t>Kant-en-klaar: de ISO 27001 Toolkit bevat ISB-P01 Procedure risicomanagement, RSK-002 Risicoregister en behandelplan, ISB-001 Verklaring van toepasselijkheid, met een ingevuld voorbeeld.</t>
  </si>
  <si>
    <t>Bekijk de ISO 27001 Toolkit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</si>
</sst>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olor rgb="FF1F5F6B"/>
      <sz val="10"/>
      <name val="Calibri"/>
    </font>
    <font>
      <b/>
      <color rgb="FF0B2239"/>
      <sz val="24"/>
      <name val="Calibri"/>
    </font>
    <font>
      <color rgb="FF0B2239"/>
      <sz val="12"/>
      <name val="Calibri"/>
    </font>
    <font>
      <b/>
      <color rgb="FF0B2239"/>
      <sz val="11"/>
      <name val="Calibri"/>
    </font>
    <font>
      <color rgb="FF0B2239"/>
      <sz val="11"/>
      <name val="Calibri"/>
    </font>
    <font>
      <b/>
      <u/>
      <color rgb="FF0B2239"/>
      <name val="Calibri"/>
    </font>
    <font>
      <b/>
      <color rgb="FF0B2239"/>
      <sz val="14"/>
      <name val="Calibri"/>
    </font>
    <font>
      <i/>
      <color rgb="FF4B5563"/>
      <sz val="10"/>
      <name val="Calibri"/>
    </font>
    <font>
      <b/>
      <color rgb="FFF7F5F0"/>
      <name val="Calibri"/>
    </font>
    <font>
      <i/>
      <color rgb="FF1F5F6B"/>
      <sz val="10"/>
      <name val="Consolas"/>
    </font>
    <font>
      <b/>
      <color rgb="FF0B2239"/>
      <sz val="10"/>
      <name val="Calibri"/>
    </font>
    <font>
      <color rgb="FF1F5F6B"/>
      <sz val="10"/>
      <name val="Consolas"/>
    </font>
    <font>
      <color rgb="FF0B2239"/>
      <sz val="10"/>
      <name val="Calibri"/>
    </font>
    <font>
      <b/>
      <color rgb="FF0B2239"/>
      <sz val="18"/>
      <name val="Calibri"/>
    </font>
    <font>
      <b/>
      <color rgb="FF713F12"/>
      <sz val="10"/>
      <name val="Calibri"/>
    </font>
    <font>
      <b/>
      <color rgb="FFB91C1C"/>
      <sz val="10"/>
      <name val="Calibri"/>
    </font>
    <font>
      <b/>
      <color rgb="FF14532D"/>
      <sz val="10"/>
      <name val="Calibri"/>
    </font>
    <font>
      <b/>
      <color rgb="FF14532D"/>
      <name val="Calibri"/>
    </font>
    <font>
      <b/>
      <color rgb="FF1F5F6B"/>
      <name val="Calibri"/>
    </font>
    <font>
      <b/>
      <color rgb="FF713F12"/>
      <name val="Calibri"/>
    </font>
    <font>
      <b/>
      <color rgb="FFB91C1C"/>
      <name val="Calibri"/>
    </font>
    <font>
      <b/>
      <color rgb="FF0B223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7F5F0"/>
      </patternFill>
    </fill>
    <fill>
      <patternFill patternType="solid">
        <fgColor rgb="FFC2410C"/>
      </patternFill>
    </fill>
    <fill>
      <patternFill patternType="solid">
        <fgColor rgb="FF0B2239"/>
      </patternFill>
    </fill>
    <fill>
      <patternFill patternType="solid">
        <fgColor rgb="FFFFFFFF"/>
      </patternFill>
    </fill>
    <fill>
      <patternFill patternType="solid">
        <fgColor rgb="FFE4EFF0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CEFE6"/>
      </patternFill>
    </fill>
  </fills>
  <borders count="3">
    <border>
      <left/>
      <right/>
      <top/>
      <bottom/>
      <diagonal/>
    </border>
    <border>
      <left style="thin">
        <color rgb="FF0B2239"/>
      </left>
      <right style="thin">
        <color rgb="FF0B2239"/>
      </right>
      <top style="thin">
        <color rgb="FF0B2239"/>
      </top>
      <bottom style="thin">
        <color rgb="FF0B2239"/>
      </bottom>
      <diagonal/>
    </border>
    <border>
      <left style="thin">
        <color rgb="FFD9D4C7"/>
      </left>
      <right style="thin">
        <color rgb="FFD9D4C7"/>
      </right>
      <top style="thin">
        <color rgb="FFD9D4C7"/>
      </top>
      <bottom style="thin">
        <color rgb="FFD9D4C7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3" borderId="0" xfId="0" applyFill="1"/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/>
    </xf>
    <xf numFmtId="0" fontId="5" fillId="2" borderId="0" xfId="0" applyFont="1" applyFill="1" applyAlignment="1">
      <alignment vertical="top" wrapText="1"/>
    </xf>
    <xf numFmtId="0" fontId="6" fillId="2" borderId="0" xfId="0" applyFont="1" applyFill="1"/>
    <xf numFmtId="0" fontId="7" fillId="0" borderId="0" xfId="0" applyFont="1"/>
    <xf numFmtId="0" fontId="8" fillId="0" borderId="0" xfId="0" applyFont="1"/>
    <xf numFmtId="0" fontId="9" fillId="4" borderId="1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top" wrapText="1"/>
    </xf>
    <xf numFmtId="0" fontId="8" fillId="5" borderId="2" xfId="0" applyFont="1" applyFill="1" applyBorder="1" applyAlignment="1">
      <alignment vertical="top" wrapText="1"/>
    </xf>
    <xf numFmtId="0" fontId="8" fillId="5" borderId="2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vertical="top" wrapText="1"/>
    </xf>
    <xf numFmtId="0" fontId="12" fillId="5" borderId="2" xfId="0" applyFont="1" applyFill="1" applyBorder="1" applyAlignment="1">
      <alignment vertical="top" wrapText="1"/>
    </xf>
    <xf numFmtId="0" fontId="13" fillId="5" borderId="2" xfId="0" applyFont="1" applyFill="1" applyBorder="1" applyAlignment="1">
      <alignment vertical="top" wrapText="1"/>
    </xf>
    <xf numFmtId="0" fontId="13" fillId="5" borderId="2" xfId="0" applyFont="1" applyFill="1" applyBorder="1" applyAlignment="1">
      <alignment horizontal="center" vertical="top" wrapText="1"/>
    </xf>
    <xf numFmtId="0" fontId="14" fillId="0" borderId="0" xfId="0" applyFont="1"/>
    <xf numFmtId="0" fontId="8" fillId="0" borderId="0" xfId="0" applyFont="1" applyAlignment="1">
      <alignment wrapText="1"/>
    </xf>
    <xf numFmtId="0" fontId="11" fillId="0" borderId="2" xfId="0" applyFont="1" applyBorder="1" applyAlignment="1">
      <alignment vertical="top" wrapText="1"/>
    </xf>
    <xf numFmtId="0" fontId="13" fillId="0" borderId="2" xfId="0" applyFont="1" applyBorder="1" applyAlignment="1">
      <alignment vertical="top" wrapText="1"/>
    </xf>
    <xf numFmtId="0" fontId="11" fillId="0" borderId="2" xfId="0" applyFont="1" applyBorder="1"/>
    <xf numFmtId="0" fontId="1" fillId="6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6" borderId="2" xfId="0" applyFont="1" applyFill="1" applyBorder="1" applyAlignment="1">
      <alignment vertical="top" wrapText="1"/>
    </xf>
    <xf numFmtId="0" fontId="15" fillId="7" borderId="2" xfId="0" applyFont="1" applyFill="1" applyBorder="1" applyAlignment="1">
      <alignment vertical="top" wrapText="1"/>
    </xf>
    <xf numFmtId="0" fontId="16" fillId="8" borderId="2" xfId="0" applyFont="1" applyFill="1" applyBorder="1" applyAlignment="1">
      <alignment vertical="top" wrapText="1"/>
    </xf>
    <xf numFmtId="0" fontId="11" fillId="0" borderId="0" xfId="0" applyFont="1"/>
    <xf numFmtId="0" fontId="0" fillId="0" borderId="0" xfId="0" applyAlignment="1">
      <alignment vertical="top" wrapText="1"/>
    </xf>
    <xf numFmtId="0" fontId="18" fillId="9" borderId="2" xfId="0" applyFont="1" applyFill="1" applyBorder="1"/>
    <xf numFmtId="0" fontId="0" fillId="0" borderId="2" xfId="0" applyBorder="1" applyAlignment="1">
      <alignment horizontal="center"/>
    </xf>
    <xf numFmtId="0" fontId="19" fillId="6" borderId="2" xfId="0" applyFont="1" applyFill="1" applyBorder="1"/>
    <xf numFmtId="0" fontId="20" fillId="7" borderId="2" xfId="0" applyFont="1" applyFill="1" applyBorder="1"/>
    <xf numFmtId="0" fontId="21" fillId="8" borderId="2" xfId="0" applyFont="1" applyFill="1" applyBorder="1"/>
    <xf numFmtId="0" fontId="22" fillId="6" borderId="2" xfId="0" applyFont="1" applyFill="1" applyBorder="1"/>
    <xf numFmtId="0" fontId="22" fillId="6" borderId="2" xfId="0" applyFont="1" applyFill="1" applyBorder="1" applyAlignment="1">
      <alignment horizontal="center"/>
    </xf>
    <xf numFmtId="0" fontId="22" fillId="10" borderId="0" xfId="0" applyFont="1" applyFill="1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8">
    <dxf>
      <font>
        <b/>
        <color rgb="FF14532D"/>
      </font>
      <fill>
        <patternFill patternType="solid">
          <bgColor rgb="FFDCFCE7"/>
        </patternFill>
      </fill>
    </dxf>
    <dxf>
      <font>
        <b/>
        <color rgb="FF1F5F6B"/>
      </font>
      <fill>
        <patternFill patternType="solid">
          <bgColor rgb="FFE4EFF0"/>
        </patternFill>
      </fill>
    </dxf>
    <dxf>
      <font>
        <b/>
        <color rgb="FF713F12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4532D"/>
      </font>
      <fill>
        <patternFill patternType="solid">
          <bgColor rgb="FFDCFCE7"/>
        </patternFill>
      </fill>
    </dxf>
    <dxf>
      <font>
        <b/>
        <color rgb="FF1F5F6B"/>
      </font>
      <fill>
        <patternFill patternType="solid">
          <bgColor rgb="FFE4EFF0"/>
        </patternFill>
      </fill>
    </dxf>
    <dxf>
      <font>
        <b/>
        <color rgb="FF713F12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asiso.nl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asiso.nl/toolkits/iso-270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239"/>
  </sheetPr>
  <dimension ref="A1:C40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90" customWidth="1"/>
  </cols>
  <sheetData>
    <row r="1" spans="1:3" x14ac:dyDescent="0.25">
      <c r="A1" s="1"/>
      <c r="B1" s="1"/>
      <c r="C1" s="1"/>
    </row>
    <row r="2" spans="1:3" x14ac:dyDescent="0.25">
      <c r="A2" s="1"/>
      <c r="B2" s="2" t="s">
        <v>0</v>
      </c>
      <c r="C2" s="2"/>
    </row>
    <row r="3" ht="36" customHeight="1" spans="1:3" x14ac:dyDescent="0.25">
      <c r="A3" s="1"/>
      <c r="B3" s="3" t="s">
        <v>1</v>
      </c>
      <c r="C3" s="3"/>
    </row>
    <row r="4" ht="4" customHeight="1" spans="1:3" x14ac:dyDescent="0.25">
      <c r="A4" s="1"/>
      <c r="B4" s="4"/>
      <c r="C4" s="1"/>
    </row>
    <row r="5" spans="1:3" x14ac:dyDescent="0.25">
      <c r="A5" s="1"/>
      <c r="B5" s="1"/>
      <c r="C5" s="1"/>
    </row>
    <row r="6" ht="36" customHeight="1" spans="1:3" x14ac:dyDescent="0.25">
      <c r="A6" s="1"/>
      <c r="B6" s="5" t="s">
        <v>2</v>
      </c>
      <c r="C6" s="5"/>
    </row>
    <row r="7" spans="1:3" x14ac:dyDescent="0.25">
      <c r="A7" s="1"/>
      <c r="B7" s="1"/>
      <c r="C7" s="1"/>
    </row>
    <row r="8" spans="1:3" x14ac:dyDescent="0.25">
      <c r="A8" s="1"/>
      <c r="B8" s="2" t="s">
        <v>3</v>
      </c>
      <c r="C8" s="2"/>
    </row>
    <row r="9" ht="30" customHeight="1" spans="1:3" x14ac:dyDescent="0.25">
      <c r="A9" s="1"/>
      <c r="B9" s="6" t="s">
        <v>4</v>
      </c>
      <c r="C9" s="7" t="s">
        <v>5</v>
      </c>
    </row>
    <row r="10" ht="30" customHeight="1" spans="1:3" x14ac:dyDescent="0.25">
      <c r="A10" s="1"/>
      <c r="B10" s="6" t="s">
        <v>6</v>
      </c>
      <c r="C10" s="7" t="s">
        <v>7</v>
      </c>
    </row>
    <row r="11" ht="16" customHeight="1" spans="1:3" x14ac:dyDescent="0.25">
      <c r="A11" s="1"/>
      <c r="B11" s="6" t="s">
        <v>8</v>
      </c>
      <c r="C11" s="7" t="s">
        <v>9</v>
      </c>
    </row>
    <row r="12" ht="30" customHeight="1" spans="1:3" x14ac:dyDescent="0.25">
      <c r="A12" s="1"/>
      <c r="B12" s="6" t="s">
        <v>10</v>
      </c>
      <c r="C12" s="7" t="s">
        <v>11</v>
      </c>
    </row>
    <row r="13" ht="30" customHeight="1" spans="1:3" x14ac:dyDescent="0.25">
      <c r="A13" s="1"/>
      <c r="B13" s="6" t="s">
        <v>12</v>
      </c>
      <c r="C13" s="7" t="s">
        <v>13</v>
      </c>
    </row>
    <row r="14" spans="1:3" x14ac:dyDescent="0.25">
      <c r="A14" s="1"/>
      <c r="B14" s="1"/>
      <c r="C14" s="1"/>
    </row>
    <row r="15" spans="1:3" x14ac:dyDescent="0.25">
      <c r="A15" s="1"/>
      <c r="B15" s="2" t="s">
        <v>14</v>
      </c>
      <c r="C15" s="2"/>
    </row>
    <row r="16" ht="30" customHeight="1" spans="1:3" x14ac:dyDescent="0.25">
      <c r="A16" s="1"/>
      <c r="B16" s="6" t="s">
        <v>15</v>
      </c>
      <c r="C16" s="7" t="s">
        <v>16</v>
      </c>
    </row>
    <row r="17" ht="16" customHeight="1" spans="1:3" x14ac:dyDescent="0.25">
      <c r="A17" s="1"/>
      <c r="B17" s="6" t="s">
        <v>17</v>
      </c>
      <c r="C17" s="7" t="s">
        <v>18</v>
      </c>
    </row>
    <row r="18" spans="1:3" x14ac:dyDescent="0.25">
      <c r="A18" s="1"/>
      <c r="B18" s="1"/>
      <c r="C18" s="1"/>
    </row>
    <row r="19" spans="1:3" x14ac:dyDescent="0.25">
      <c r="A19" s="1"/>
      <c r="B19" s="2" t="s">
        <v>19</v>
      </c>
      <c r="C19" s="2"/>
    </row>
    <row r="20" ht="30" customHeight="1" spans="1:3" x14ac:dyDescent="0.25">
      <c r="A20" s="1"/>
      <c r="B20" s="6" t="s">
        <v>20</v>
      </c>
      <c r="C20" s="7" t="s">
        <v>21</v>
      </c>
    </row>
    <row r="21" ht="30" customHeight="1" spans="1:3" x14ac:dyDescent="0.25">
      <c r="A21" s="1"/>
      <c r="B21" s="6" t="s">
        <v>22</v>
      </c>
      <c r="C21" s="7" t="s">
        <v>23</v>
      </c>
    </row>
    <row r="22" ht="30" customHeight="1" spans="1:3" x14ac:dyDescent="0.25">
      <c r="A22" s="1"/>
      <c r="B22" s="6" t="s">
        <v>24</v>
      </c>
      <c r="C22" s="7" t="s">
        <v>25</v>
      </c>
    </row>
    <row r="23" ht="16" customHeight="1" spans="1:3" x14ac:dyDescent="0.25">
      <c r="A23" s="1"/>
      <c r="B23" s="6" t="s">
        <v>26</v>
      </c>
      <c r="C23" s="7" t="s">
        <v>27</v>
      </c>
    </row>
    <row r="24" ht="30" customHeight="1" spans="1:3" x14ac:dyDescent="0.25">
      <c r="A24" s="1"/>
      <c r="B24" s="6" t="s">
        <v>28</v>
      </c>
      <c r="C24" s="7" t="s">
        <v>29</v>
      </c>
    </row>
    <row r="25" spans="1:3" x14ac:dyDescent="0.25">
      <c r="A25" s="1"/>
      <c r="B25" s="1"/>
      <c r="C25" s="1"/>
    </row>
    <row r="26" spans="1:3" x14ac:dyDescent="0.25">
      <c r="A26" s="1"/>
      <c r="B26" s="8" t="s">
        <v>30</v>
      </c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</sheetData>
  <mergeCells count="6">
    <mergeCell ref="B2:C2"/>
    <mergeCell ref="B3:C3"/>
    <mergeCell ref="B6:C6"/>
    <mergeCell ref="B8:C8"/>
    <mergeCell ref="B15:C15"/>
    <mergeCell ref="B19:C19"/>
  </mergeCells>
  <hyperlinks>
    <hyperlink ref="B26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2410C"/>
    <pageSetUpPr fitToPage="1"/>
  </sheetPr>
  <dimension ref="A1:R53"/>
  <sheetViews>
    <sheetView workbookViewId="0" showGridLines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24" customWidth="1"/>
    <col min="3" max="4" width="28" customWidth="1"/>
    <col min="5" max="5" width="10" customWidth="1"/>
    <col min="6" max="6" width="16" customWidth="1"/>
    <col min="9" max="9" width="8" customWidth="1"/>
    <col min="10" max="11" width="13" customWidth="1"/>
    <col min="12" max="12" width="32" customWidth="1"/>
    <col min="13" max="13" width="30" customWidth="1"/>
    <col min="16" max="16" width="14" customWidth="1"/>
    <col min="17" max="17" width="16" customWidth="1"/>
    <col min="18" max="18" width="14" customWidth="1"/>
  </cols>
  <sheetData>
    <row r="1" ht="24" customHeight="1" spans="1:18" x14ac:dyDescent="0.25">
      <c r="A1" s="9" t="s">
        <v>31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x14ac:dyDescent="0.25">
      <c r="A2" s="10" t="s">
        <v>32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ht="30" customHeight="1" spans="1:18" x14ac:dyDescent="0.25">
      <c r="A3" s="11" t="s">
        <v>33</v>
      </c>
      <c r="B3" s="11" t="s">
        <v>34</v>
      </c>
      <c r="C3" s="11" t="s">
        <v>35</v>
      </c>
      <c r="D3" s="11" t="s">
        <v>36</v>
      </c>
      <c r="E3" s="11" t="s">
        <v>37</v>
      </c>
      <c r="F3" s="11" t="s">
        <v>38</v>
      </c>
      <c r="G3" s="11" t="s">
        <v>39</v>
      </c>
      <c r="H3" s="11" t="s">
        <v>40</v>
      </c>
      <c r="I3" s="11" t="s">
        <v>41</v>
      </c>
      <c r="J3" s="11" t="s">
        <v>42</v>
      </c>
      <c r="K3" s="11" t="s">
        <v>43</v>
      </c>
      <c r="L3" s="11" t="s">
        <v>44</v>
      </c>
      <c r="M3" s="11" t="s">
        <v>45</v>
      </c>
      <c r="N3" s="11" t="s">
        <v>46</v>
      </c>
      <c r="O3" s="11" t="s">
        <v>47</v>
      </c>
      <c r="P3" s="11" t="s">
        <v>48</v>
      </c>
      <c r="Q3" s="11" t="s">
        <v>49</v>
      </c>
      <c r="R3" s="11" t="s">
        <v>50</v>
      </c>
    </row>
    <row r="4" spans="1:18" x14ac:dyDescent="0.25">
      <c r="A4" s="12" t="s">
        <v>51</v>
      </c>
      <c r="B4" s="13" t="s">
        <v>52</v>
      </c>
      <c r="C4" s="13" t="s">
        <v>53</v>
      </c>
      <c r="D4" s="13" t="s">
        <v>54</v>
      </c>
      <c r="E4" s="13" t="s">
        <v>55</v>
      </c>
      <c r="F4" s="13" t="s">
        <v>56</v>
      </c>
      <c r="G4" s="14">
        <v>4</v>
      </c>
      <c r="H4" s="14">
        <v>4</v>
      </c>
      <c r="I4" s="15">
        <f>IF(OR(G4="",H4=""),"",G4*H4)</f>
      </c>
      <c r="J4" s="16">
        <f>IF(I4="","",IF(I4&gt;=16,"✕ Zeer hoog",IF(I4&gt;=10,"! Hoog",IF(I4&gt;=5,"! Midden","✓ Laag"))))</f>
      </c>
      <c r="K4" s="13" t="s">
        <v>57</v>
      </c>
      <c r="L4" s="13" t="s">
        <v>58</v>
      </c>
      <c r="M4" s="13" t="s">
        <v>59</v>
      </c>
      <c r="N4" s="14">
        <v>2</v>
      </c>
      <c r="O4" s="14">
        <v>4</v>
      </c>
      <c r="P4" s="16">
        <f>IF(OR(N4="",O4=""),"",N4*O4&amp;" · "&amp;IF(N4*O4&gt;=16,"✕ Zeer hoog",IF(N4*O4&gt;=10,"! Hoog",IF(N4*O4&gt;=5,"! Midden","✓ Laag"))))</f>
      </c>
      <c r="Q4" s="13" t="s">
        <v>60</v>
      </c>
      <c r="R4" s="13" t="s">
        <v>61</v>
      </c>
    </row>
    <row r="5" spans="1:18" x14ac:dyDescent="0.25">
      <c r="A5" s="12" t="s">
        <v>62</v>
      </c>
      <c r="B5" s="13" t="s">
        <v>63</v>
      </c>
      <c r="C5" s="13" t="s">
        <v>64</v>
      </c>
      <c r="D5" s="13" t="s">
        <v>65</v>
      </c>
      <c r="E5" s="13" t="s">
        <v>66</v>
      </c>
      <c r="F5" s="13" t="s">
        <v>67</v>
      </c>
      <c r="G5" s="14">
        <v>3</v>
      </c>
      <c r="H5" s="14">
        <v>5</v>
      </c>
      <c r="I5" s="15">
        <f>IF(OR(G5="",H5=""),"",G5*H5)</f>
      </c>
      <c r="J5" s="16">
        <f>IF(I5="","",IF(I5&gt;=16,"✕ Zeer hoog",IF(I5&gt;=10,"! Hoog",IF(I5&gt;=5,"! Midden","✓ Laag"))))</f>
      </c>
      <c r="K5" s="13" t="s">
        <v>57</v>
      </c>
      <c r="L5" s="13" t="s">
        <v>68</v>
      </c>
      <c r="M5" s="13" t="s">
        <v>69</v>
      </c>
      <c r="N5" s="14">
        <v>2</v>
      </c>
      <c r="O5" s="14">
        <v>3</v>
      </c>
      <c r="P5" s="16">
        <f>IF(OR(N5="",O5=""),"",N5*O5&amp;" · "&amp;IF(N5*O5&gt;=16,"✕ Zeer hoog",IF(N5*O5&gt;=10,"! Hoog",IF(N5*O5&gt;=5,"! Midden","✓ Laag"))))</f>
      </c>
      <c r="Q5" s="13" t="s">
        <v>60</v>
      </c>
      <c r="R5" s="13" t="s">
        <v>61</v>
      </c>
    </row>
    <row r="6" spans="1:18" x14ac:dyDescent="0.25">
      <c r="A6" s="12" t="s">
        <v>70</v>
      </c>
      <c r="B6" s="13" t="s">
        <v>71</v>
      </c>
      <c r="C6" s="13" t="s">
        <v>72</v>
      </c>
      <c r="D6" s="13" t="s">
        <v>73</v>
      </c>
      <c r="E6" s="13" t="s">
        <v>74</v>
      </c>
      <c r="F6" s="13" t="s">
        <v>75</v>
      </c>
      <c r="G6" s="14">
        <v>3</v>
      </c>
      <c r="H6" s="14">
        <v>3</v>
      </c>
      <c r="I6" s="15">
        <f>IF(OR(G6="",H6=""),"",G6*H6)</f>
      </c>
      <c r="J6" s="16">
        <f>IF(I6="","",IF(I6&gt;=16,"✕ Zeer hoog",IF(I6&gt;=10,"! Hoog",IF(I6&gt;=5,"! Midden","✓ Laag"))))</f>
      </c>
      <c r="K6" s="13" t="s">
        <v>57</v>
      </c>
      <c r="L6" s="13" t="s">
        <v>76</v>
      </c>
      <c r="M6" s="13" t="s">
        <v>77</v>
      </c>
      <c r="N6" s="14">
        <v>3</v>
      </c>
      <c r="O6" s="14">
        <v>1</v>
      </c>
      <c r="P6" s="16">
        <f>IF(OR(N6="",O6=""),"",N6*O6&amp;" · "&amp;IF(N6*O6&gt;=16,"✕ Zeer hoog",IF(N6*O6&gt;=10,"! Hoog",IF(N6*O6&gt;=5,"! Midden","✓ Laag"))))</f>
      </c>
      <c r="Q6" s="13" t="s">
        <v>60</v>
      </c>
      <c r="R6" s="13" t="s">
        <v>61</v>
      </c>
    </row>
    <row r="7" spans="1:18" x14ac:dyDescent="0.25">
      <c r="A7" s="12" t="s">
        <v>78</v>
      </c>
      <c r="B7" s="13" t="s">
        <v>79</v>
      </c>
      <c r="C7" s="13" t="s">
        <v>80</v>
      </c>
      <c r="D7" s="13" t="s">
        <v>81</v>
      </c>
      <c r="E7" s="13" t="s">
        <v>82</v>
      </c>
      <c r="F7" s="13" t="s">
        <v>67</v>
      </c>
      <c r="G7" s="14">
        <v>2</v>
      </c>
      <c r="H7" s="14">
        <v>4</v>
      </c>
      <c r="I7" s="15">
        <f>IF(OR(G7="",H7=""),"",G7*H7)</f>
      </c>
      <c r="J7" s="16">
        <f>IF(I7="","",IF(I7&gt;=16,"✕ Zeer hoog",IF(I7&gt;=10,"! Hoog",IF(I7&gt;=5,"! Midden","✓ Laag"))))</f>
      </c>
      <c r="K7" s="13" t="s">
        <v>83</v>
      </c>
      <c r="L7" s="13" t="s">
        <v>84</v>
      </c>
      <c r="M7" s="13" t="s">
        <v>85</v>
      </c>
      <c r="N7" s="14">
        <v>2</v>
      </c>
      <c r="O7" s="14">
        <v>3</v>
      </c>
      <c r="P7" s="16">
        <f>IF(OR(N7="",O7=""),"",N7*O7&amp;" · "&amp;IF(N7*O7&gt;=16,"✕ Zeer hoog",IF(N7*O7&gt;=10,"! Hoog",IF(N7*O7&gt;=5,"! Midden","✓ Laag"))))</f>
      </c>
      <c r="Q7" s="13" t="s">
        <v>60</v>
      </c>
      <c r="R7" s="13" t="s">
        <v>61</v>
      </c>
    </row>
    <row r="8" spans="1:18" x14ac:dyDescent="0.25">
      <c r="A8" s="12" t="s">
        <v>86</v>
      </c>
      <c r="B8" s="13" t="s">
        <v>87</v>
      </c>
      <c r="C8" s="13" t="s">
        <v>88</v>
      </c>
      <c r="D8" s="13" t="s">
        <v>89</v>
      </c>
      <c r="E8" s="13" t="s">
        <v>74</v>
      </c>
      <c r="F8" s="13" t="s">
        <v>75</v>
      </c>
      <c r="G8" s="14">
        <v>2</v>
      </c>
      <c r="H8" s="14">
        <v>2</v>
      </c>
      <c r="I8" s="15">
        <f>IF(OR(G8="",H8=""),"",G8*H8)</f>
      </c>
      <c r="J8" s="16">
        <f>IF(I8="","",IF(I8&gt;=16,"✕ Zeer hoog",IF(I8&gt;=10,"! Hoog",IF(I8&gt;=5,"! Midden","✓ Laag"))))</f>
      </c>
      <c r="K8" s="13" t="s">
        <v>90</v>
      </c>
      <c r="L8" s="13" t="s">
        <v>91</v>
      </c>
      <c r="M8" s="13" t="s">
        <v>92</v>
      </c>
      <c r="N8" s="14">
        <v>2</v>
      </c>
      <c r="O8" s="14">
        <v>2</v>
      </c>
      <c r="P8" s="16">
        <f>IF(OR(N8="",O8=""),"",N8*O8&amp;" · "&amp;IF(N8*O8&gt;=16,"✕ Zeer hoog",IF(N8*O8&gt;=10,"! Hoog",IF(N8*O8&gt;=5,"! Midden","✓ Laag"))))</f>
      </c>
      <c r="Q8" s="13" t="s">
        <v>60</v>
      </c>
      <c r="R8" s="13" t="s">
        <v>61</v>
      </c>
    </row>
    <row r="9" spans="1:18" x14ac:dyDescent="0.25">
      <c r="A9" s="17" t="s">
        <v>93</v>
      </c>
      <c r="B9" s="18"/>
      <c r="C9" s="18"/>
      <c r="D9" s="18"/>
      <c r="E9" s="18"/>
      <c r="F9" s="18"/>
      <c r="G9" s="19"/>
      <c r="H9" s="19"/>
      <c r="I9" s="15">
        <f>IF(OR(G9="",H9=""),"",G9*H9)</f>
      </c>
      <c r="J9" s="16">
        <f>IF(I9="","",IF(I9&gt;=16,"✕ Zeer hoog",IF(I9&gt;=10,"! Hoog",IF(I9&gt;=5,"! Midden","✓ Laag"))))</f>
      </c>
      <c r="K9" s="18"/>
      <c r="L9" s="18"/>
      <c r="M9" s="18"/>
      <c r="N9" s="19"/>
      <c r="O9" s="19"/>
      <c r="P9" s="16">
        <f>IF(OR(N9="",O9=""),"",N9*O9&amp;" · "&amp;IF(N9*O9&gt;=16,"✕ Zeer hoog",IF(N9*O9&gt;=10,"! Hoog",IF(N9*O9&gt;=5,"! Midden","✓ Laag"))))</f>
      </c>
      <c r="Q9" s="18"/>
      <c r="R9" s="18"/>
    </row>
    <row r="10" spans="1:18" x14ac:dyDescent="0.25">
      <c r="A10" s="17" t="s">
        <v>94</v>
      </c>
      <c r="B10" s="18"/>
      <c r="C10" s="18"/>
      <c r="D10" s="18"/>
      <c r="E10" s="18"/>
      <c r="F10" s="18"/>
      <c r="G10" s="19"/>
      <c r="H10" s="19"/>
      <c r="I10" s="15">
        <f>IF(OR(G10="",H10=""),"",G10*H10)</f>
      </c>
      <c r="J10" s="16">
        <f>IF(I10="","",IF(I10&gt;=16,"✕ Zeer hoog",IF(I10&gt;=10,"! Hoog",IF(I10&gt;=5,"! Midden","✓ Laag"))))</f>
      </c>
      <c r="K10" s="18"/>
      <c r="L10" s="18"/>
      <c r="M10" s="18"/>
      <c r="N10" s="19"/>
      <c r="O10" s="19"/>
      <c r="P10" s="16">
        <f>IF(OR(N10="",O10=""),"",N10*O10&amp;" · "&amp;IF(N10*O10&gt;=16,"✕ Zeer hoog",IF(N10*O10&gt;=10,"! Hoog",IF(N10*O10&gt;=5,"! Midden","✓ Laag"))))</f>
      </c>
      <c r="Q10" s="18"/>
      <c r="R10" s="18"/>
    </row>
    <row r="11" spans="1:18" x14ac:dyDescent="0.25">
      <c r="A11" s="17" t="s">
        <v>95</v>
      </c>
      <c r="B11" s="18"/>
      <c r="C11" s="18"/>
      <c r="D11" s="18"/>
      <c r="E11" s="18"/>
      <c r="F11" s="18"/>
      <c r="G11" s="19"/>
      <c r="H11" s="19"/>
      <c r="I11" s="15">
        <f>IF(OR(G11="",H11=""),"",G11*H11)</f>
      </c>
      <c r="J11" s="16">
        <f>IF(I11="","",IF(I11&gt;=16,"✕ Zeer hoog",IF(I11&gt;=10,"! Hoog",IF(I11&gt;=5,"! Midden","✓ Laag"))))</f>
      </c>
      <c r="K11" s="18"/>
      <c r="L11" s="18"/>
      <c r="M11" s="18"/>
      <c r="N11" s="19"/>
      <c r="O11" s="19"/>
      <c r="P11" s="16">
        <f>IF(OR(N11="",O11=""),"",N11*O11&amp;" · "&amp;IF(N11*O11&gt;=16,"✕ Zeer hoog",IF(N11*O11&gt;=10,"! Hoog",IF(N11*O11&gt;=5,"! Midden","✓ Laag"))))</f>
      </c>
      <c r="Q11" s="18"/>
      <c r="R11" s="18"/>
    </row>
    <row r="12" spans="1:18" x14ac:dyDescent="0.25">
      <c r="A12" s="17" t="s">
        <v>96</v>
      </c>
      <c r="B12" s="18"/>
      <c r="C12" s="18"/>
      <c r="D12" s="18"/>
      <c r="E12" s="18"/>
      <c r="F12" s="18"/>
      <c r="G12" s="19"/>
      <c r="H12" s="19"/>
      <c r="I12" s="15">
        <f>IF(OR(G12="",H12=""),"",G12*H12)</f>
      </c>
      <c r="J12" s="16">
        <f>IF(I12="","",IF(I12&gt;=16,"✕ Zeer hoog",IF(I12&gt;=10,"! Hoog",IF(I12&gt;=5,"! Midden","✓ Laag"))))</f>
      </c>
      <c r="K12" s="18"/>
      <c r="L12" s="18"/>
      <c r="M12" s="18"/>
      <c r="N12" s="19"/>
      <c r="O12" s="19"/>
      <c r="P12" s="16">
        <f>IF(OR(N12="",O12=""),"",N12*O12&amp;" · "&amp;IF(N12*O12&gt;=16,"✕ Zeer hoog",IF(N12*O12&gt;=10,"! Hoog",IF(N12*O12&gt;=5,"! Midden","✓ Laag"))))</f>
      </c>
      <c r="Q12" s="18"/>
      <c r="R12" s="18"/>
    </row>
    <row r="13" spans="1:18" x14ac:dyDescent="0.25">
      <c r="A13" s="17" t="s">
        <v>97</v>
      </c>
      <c r="B13" s="18"/>
      <c r="C13" s="18"/>
      <c r="D13" s="18"/>
      <c r="E13" s="18"/>
      <c r="F13" s="18"/>
      <c r="G13" s="19"/>
      <c r="H13" s="19"/>
      <c r="I13" s="15">
        <f>IF(OR(G13="",H13=""),"",G13*H13)</f>
      </c>
      <c r="J13" s="16">
        <f>IF(I13="","",IF(I13&gt;=16,"✕ Zeer hoog",IF(I13&gt;=10,"! Hoog",IF(I13&gt;=5,"! Midden","✓ Laag"))))</f>
      </c>
      <c r="K13" s="18"/>
      <c r="L13" s="18"/>
      <c r="M13" s="18"/>
      <c r="N13" s="19"/>
      <c r="O13" s="19"/>
      <c r="P13" s="16">
        <f>IF(OR(N13="",O13=""),"",N13*O13&amp;" · "&amp;IF(N13*O13&gt;=16,"✕ Zeer hoog",IF(N13*O13&gt;=10,"! Hoog",IF(N13*O13&gt;=5,"! Midden","✓ Laag"))))</f>
      </c>
      <c r="Q13" s="18"/>
      <c r="R13" s="18"/>
    </row>
    <row r="14" spans="1:18" x14ac:dyDescent="0.25">
      <c r="A14" s="17" t="s">
        <v>98</v>
      </c>
      <c r="B14" s="18"/>
      <c r="C14" s="18"/>
      <c r="D14" s="18"/>
      <c r="E14" s="18"/>
      <c r="F14" s="18"/>
      <c r="G14" s="19"/>
      <c r="H14" s="19"/>
      <c r="I14" s="15">
        <f>IF(OR(G14="",H14=""),"",G14*H14)</f>
      </c>
      <c r="J14" s="16">
        <f>IF(I14="","",IF(I14&gt;=16,"✕ Zeer hoog",IF(I14&gt;=10,"! Hoog",IF(I14&gt;=5,"! Midden","✓ Laag"))))</f>
      </c>
      <c r="K14" s="18"/>
      <c r="L14" s="18"/>
      <c r="M14" s="18"/>
      <c r="N14" s="19"/>
      <c r="O14" s="19"/>
      <c r="P14" s="16">
        <f>IF(OR(N14="",O14=""),"",N14*O14&amp;" · "&amp;IF(N14*O14&gt;=16,"✕ Zeer hoog",IF(N14*O14&gt;=10,"! Hoog",IF(N14*O14&gt;=5,"! Midden","✓ Laag"))))</f>
      </c>
      <c r="Q14" s="18"/>
      <c r="R14" s="18"/>
    </row>
    <row r="15" spans="1:18" x14ac:dyDescent="0.25">
      <c r="A15" s="17" t="s">
        <v>99</v>
      </c>
      <c r="B15" s="18"/>
      <c r="C15" s="18"/>
      <c r="D15" s="18"/>
      <c r="E15" s="18"/>
      <c r="F15" s="18"/>
      <c r="G15" s="19"/>
      <c r="H15" s="19"/>
      <c r="I15" s="15">
        <f>IF(OR(G15="",H15=""),"",G15*H15)</f>
      </c>
      <c r="J15" s="16">
        <f>IF(I15="","",IF(I15&gt;=16,"✕ Zeer hoog",IF(I15&gt;=10,"! Hoog",IF(I15&gt;=5,"! Midden","✓ Laag"))))</f>
      </c>
      <c r="K15" s="18"/>
      <c r="L15" s="18"/>
      <c r="M15" s="18"/>
      <c r="N15" s="19"/>
      <c r="O15" s="19"/>
      <c r="P15" s="16">
        <f>IF(OR(N15="",O15=""),"",N15*O15&amp;" · "&amp;IF(N15*O15&gt;=16,"✕ Zeer hoog",IF(N15*O15&gt;=10,"! Hoog",IF(N15*O15&gt;=5,"! Midden","✓ Laag"))))</f>
      </c>
      <c r="Q15" s="18"/>
      <c r="R15" s="18"/>
    </row>
    <row r="16" spans="1:18" x14ac:dyDescent="0.25">
      <c r="A16" s="17" t="s">
        <v>100</v>
      </c>
      <c r="B16" s="18"/>
      <c r="C16" s="18"/>
      <c r="D16" s="18"/>
      <c r="E16" s="18"/>
      <c r="F16" s="18"/>
      <c r="G16" s="19"/>
      <c r="H16" s="19"/>
      <c r="I16" s="15">
        <f>IF(OR(G16="",H16=""),"",G16*H16)</f>
      </c>
      <c r="J16" s="16">
        <f>IF(I16="","",IF(I16&gt;=16,"✕ Zeer hoog",IF(I16&gt;=10,"! Hoog",IF(I16&gt;=5,"! Midden","✓ Laag"))))</f>
      </c>
      <c r="K16" s="18"/>
      <c r="L16" s="18"/>
      <c r="M16" s="18"/>
      <c r="N16" s="19"/>
      <c r="O16" s="19"/>
      <c r="P16" s="16">
        <f>IF(OR(N16="",O16=""),"",N16*O16&amp;" · "&amp;IF(N16*O16&gt;=16,"✕ Zeer hoog",IF(N16*O16&gt;=10,"! Hoog",IF(N16*O16&gt;=5,"! Midden","✓ Laag"))))</f>
      </c>
      <c r="Q16" s="18"/>
      <c r="R16" s="18"/>
    </row>
    <row r="17" spans="1:18" x14ac:dyDescent="0.25">
      <c r="A17" s="17" t="s">
        <v>101</v>
      </c>
      <c r="B17" s="18"/>
      <c r="C17" s="18"/>
      <c r="D17" s="18"/>
      <c r="E17" s="18"/>
      <c r="F17" s="18"/>
      <c r="G17" s="19"/>
      <c r="H17" s="19"/>
      <c r="I17" s="15">
        <f>IF(OR(G17="",H17=""),"",G17*H17)</f>
      </c>
      <c r="J17" s="16">
        <f>IF(I17="","",IF(I17&gt;=16,"✕ Zeer hoog",IF(I17&gt;=10,"! Hoog",IF(I17&gt;=5,"! Midden","✓ Laag"))))</f>
      </c>
      <c r="K17" s="18"/>
      <c r="L17" s="18"/>
      <c r="M17" s="18"/>
      <c r="N17" s="19"/>
      <c r="O17" s="19"/>
      <c r="P17" s="16">
        <f>IF(OR(N17="",O17=""),"",N17*O17&amp;" · "&amp;IF(N17*O17&gt;=16,"✕ Zeer hoog",IF(N17*O17&gt;=10,"! Hoog",IF(N17*O17&gt;=5,"! Midden","✓ Laag"))))</f>
      </c>
      <c r="Q17" s="18"/>
      <c r="R17" s="18"/>
    </row>
    <row r="18" spans="1:18" x14ac:dyDescent="0.25">
      <c r="A18" s="17" t="s">
        <v>102</v>
      </c>
      <c r="B18" s="18"/>
      <c r="C18" s="18"/>
      <c r="D18" s="18"/>
      <c r="E18" s="18"/>
      <c r="F18" s="18"/>
      <c r="G18" s="19"/>
      <c r="H18" s="19"/>
      <c r="I18" s="15">
        <f>IF(OR(G18="",H18=""),"",G18*H18)</f>
      </c>
      <c r="J18" s="16">
        <f>IF(I18="","",IF(I18&gt;=16,"✕ Zeer hoog",IF(I18&gt;=10,"! Hoog",IF(I18&gt;=5,"! Midden","✓ Laag"))))</f>
      </c>
      <c r="K18" s="18"/>
      <c r="L18" s="18"/>
      <c r="M18" s="18"/>
      <c r="N18" s="19"/>
      <c r="O18" s="19"/>
      <c r="P18" s="16">
        <f>IF(OR(N18="",O18=""),"",N18*O18&amp;" · "&amp;IF(N18*O18&gt;=16,"✕ Zeer hoog",IF(N18*O18&gt;=10,"! Hoog",IF(N18*O18&gt;=5,"! Midden","✓ Laag"))))</f>
      </c>
      <c r="Q18" s="18"/>
      <c r="R18" s="18"/>
    </row>
    <row r="19" spans="1:18" x14ac:dyDescent="0.25">
      <c r="A19" s="17" t="s">
        <v>103</v>
      </c>
      <c r="B19" s="18"/>
      <c r="C19" s="18"/>
      <c r="D19" s="18"/>
      <c r="E19" s="18"/>
      <c r="F19" s="18"/>
      <c r="G19" s="19"/>
      <c r="H19" s="19"/>
      <c r="I19" s="15">
        <f>IF(OR(G19="",H19=""),"",G19*H19)</f>
      </c>
      <c r="J19" s="16">
        <f>IF(I19="","",IF(I19&gt;=16,"✕ Zeer hoog",IF(I19&gt;=10,"! Hoog",IF(I19&gt;=5,"! Midden","✓ Laag"))))</f>
      </c>
      <c r="K19" s="18"/>
      <c r="L19" s="18"/>
      <c r="M19" s="18"/>
      <c r="N19" s="19"/>
      <c r="O19" s="19"/>
      <c r="P19" s="16">
        <f>IF(OR(N19="",O19=""),"",N19*O19&amp;" · "&amp;IF(N19*O19&gt;=16,"✕ Zeer hoog",IF(N19*O19&gt;=10,"! Hoog",IF(N19*O19&gt;=5,"! Midden","✓ Laag"))))</f>
      </c>
      <c r="Q19" s="18"/>
      <c r="R19" s="18"/>
    </row>
    <row r="20" spans="1:18" x14ac:dyDescent="0.25">
      <c r="A20" s="17" t="s">
        <v>104</v>
      </c>
      <c r="B20" s="18"/>
      <c r="C20" s="18"/>
      <c r="D20" s="18"/>
      <c r="E20" s="18"/>
      <c r="F20" s="18"/>
      <c r="G20" s="19"/>
      <c r="H20" s="19"/>
      <c r="I20" s="15">
        <f>IF(OR(G20="",H20=""),"",G20*H20)</f>
      </c>
      <c r="J20" s="16">
        <f>IF(I20="","",IF(I20&gt;=16,"✕ Zeer hoog",IF(I20&gt;=10,"! Hoog",IF(I20&gt;=5,"! Midden","✓ Laag"))))</f>
      </c>
      <c r="K20" s="18"/>
      <c r="L20" s="18"/>
      <c r="M20" s="18"/>
      <c r="N20" s="19"/>
      <c r="O20" s="19"/>
      <c r="P20" s="16">
        <f>IF(OR(N20="",O20=""),"",N20*O20&amp;" · "&amp;IF(N20*O20&gt;=16,"✕ Zeer hoog",IF(N20*O20&gt;=10,"! Hoog",IF(N20*O20&gt;=5,"! Midden","✓ Laag"))))</f>
      </c>
      <c r="Q20" s="18"/>
      <c r="R20" s="18"/>
    </row>
    <row r="21" spans="1:18" x14ac:dyDescent="0.25">
      <c r="A21" s="17" t="s">
        <v>105</v>
      </c>
      <c r="B21" s="18"/>
      <c r="C21" s="18"/>
      <c r="D21" s="18"/>
      <c r="E21" s="18"/>
      <c r="F21" s="18"/>
      <c r="G21" s="19"/>
      <c r="H21" s="19"/>
      <c r="I21" s="15">
        <f>IF(OR(G21="",H21=""),"",G21*H21)</f>
      </c>
      <c r="J21" s="16">
        <f>IF(I21="","",IF(I21&gt;=16,"✕ Zeer hoog",IF(I21&gt;=10,"! Hoog",IF(I21&gt;=5,"! Midden","✓ Laag"))))</f>
      </c>
      <c r="K21" s="18"/>
      <c r="L21" s="18"/>
      <c r="M21" s="18"/>
      <c r="N21" s="19"/>
      <c r="O21" s="19"/>
      <c r="P21" s="16">
        <f>IF(OR(N21="",O21=""),"",N21*O21&amp;" · "&amp;IF(N21*O21&gt;=16,"✕ Zeer hoog",IF(N21*O21&gt;=10,"! Hoog",IF(N21*O21&gt;=5,"! Midden","✓ Laag"))))</f>
      </c>
      <c r="Q21" s="18"/>
      <c r="R21" s="18"/>
    </row>
    <row r="22" spans="1:18" x14ac:dyDescent="0.25">
      <c r="A22" s="17" t="s">
        <v>106</v>
      </c>
      <c r="B22" s="18"/>
      <c r="C22" s="18"/>
      <c r="D22" s="18"/>
      <c r="E22" s="18"/>
      <c r="F22" s="18"/>
      <c r="G22" s="19"/>
      <c r="H22" s="19"/>
      <c r="I22" s="15">
        <f>IF(OR(G22="",H22=""),"",G22*H22)</f>
      </c>
      <c r="J22" s="16">
        <f>IF(I22="","",IF(I22&gt;=16,"✕ Zeer hoog",IF(I22&gt;=10,"! Hoog",IF(I22&gt;=5,"! Midden","✓ Laag"))))</f>
      </c>
      <c r="K22" s="18"/>
      <c r="L22" s="18"/>
      <c r="M22" s="18"/>
      <c r="N22" s="19"/>
      <c r="O22" s="19"/>
      <c r="P22" s="16">
        <f>IF(OR(N22="",O22=""),"",N22*O22&amp;" · "&amp;IF(N22*O22&gt;=16,"✕ Zeer hoog",IF(N22*O22&gt;=10,"! Hoog",IF(N22*O22&gt;=5,"! Midden","✓ Laag"))))</f>
      </c>
      <c r="Q22" s="18"/>
      <c r="R22" s="18"/>
    </row>
    <row r="23" spans="1:18" x14ac:dyDescent="0.25">
      <c r="A23" s="17" t="s">
        <v>107</v>
      </c>
      <c r="B23" s="18"/>
      <c r="C23" s="18"/>
      <c r="D23" s="18"/>
      <c r="E23" s="18"/>
      <c r="F23" s="18"/>
      <c r="G23" s="19"/>
      <c r="H23" s="19"/>
      <c r="I23" s="15">
        <f>IF(OR(G23="",H23=""),"",G23*H23)</f>
      </c>
      <c r="J23" s="16">
        <f>IF(I23="","",IF(I23&gt;=16,"✕ Zeer hoog",IF(I23&gt;=10,"! Hoog",IF(I23&gt;=5,"! Midden","✓ Laag"))))</f>
      </c>
      <c r="K23" s="18"/>
      <c r="L23" s="18"/>
      <c r="M23" s="18"/>
      <c r="N23" s="19"/>
      <c r="O23" s="19"/>
      <c r="P23" s="16">
        <f>IF(OR(N23="",O23=""),"",N23*O23&amp;" · "&amp;IF(N23*O23&gt;=16,"✕ Zeer hoog",IF(N23*O23&gt;=10,"! Hoog",IF(N23*O23&gt;=5,"! Midden","✓ Laag"))))</f>
      </c>
      <c r="Q23" s="18"/>
      <c r="R23" s="18"/>
    </row>
    <row r="24" spans="1:18" x14ac:dyDescent="0.25">
      <c r="A24" s="17" t="s">
        <v>108</v>
      </c>
      <c r="B24" s="18"/>
      <c r="C24" s="18"/>
      <c r="D24" s="18"/>
      <c r="E24" s="18"/>
      <c r="F24" s="18"/>
      <c r="G24" s="19"/>
      <c r="H24" s="19"/>
      <c r="I24" s="15">
        <f>IF(OR(G24="",H24=""),"",G24*H24)</f>
      </c>
      <c r="J24" s="16">
        <f>IF(I24="","",IF(I24&gt;=16,"✕ Zeer hoog",IF(I24&gt;=10,"! Hoog",IF(I24&gt;=5,"! Midden","✓ Laag"))))</f>
      </c>
      <c r="K24" s="18"/>
      <c r="L24" s="18"/>
      <c r="M24" s="18"/>
      <c r="N24" s="19"/>
      <c r="O24" s="19"/>
      <c r="P24" s="16">
        <f>IF(OR(N24="",O24=""),"",N24*O24&amp;" · "&amp;IF(N24*O24&gt;=16,"✕ Zeer hoog",IF(N24*O24&gt;=10,"! Hoog",IF(N24*O24&gt;=5,"! Midden","✓ Laag"))))</f>
      </c>
      <c r="Q24" s="18"/>
      <c r="R24" s="18"/>
    </row>
    <row r="25" spans="1:18" x14ac:dyDescent="0.25">
      <c r="A25" s="17" t="s">
        <v>109</v>
      </c>
      <c r="B25" s="18"/>
      <c r="C25" s="18"/>
      <c r="D25" s="18"/>
      <c r="E25" s="18"/>
      <c r="F25" s="18"/>
      <c r="G25" s="19"/>
      <c r="H25" s="19"/>
      <c r="I25" s="15">
        <f>IF(OR(G25="",H25=""),"",G25*H25)</f>
      </c>
      <c r="J25" s="16">
        <f>IF(I25="","",IF(I25&gt;=16,"✕ Zeer hoog",IF(I25&gt;=10,"! Hoog",IF(I25&gt;=5,"! Midden","✓ Laag"))))</f>
      </c>
      <c r="K25" s="18"/>
      <c r="L25" s="18"/>
      <c r="M25" s="18"/>
      <c r="N25" s="19"/>
      <c r="O25" s="19"/>
      <c r="P25" s="16">
        <f>IF(OR(N25="",O25=""),"",N25*O25&amp;" · "&amp;IF(N25*O25&gt;=16,"✕ Zeer hoog",IF(N25*O25&gt;=10,"! Hoog",IF(N25*O25&gt;=5,"! Midden","✓ Laag"))))</f>
      </c>
      <c r="Q25" s="18"/>
      <c r="R25" s="18"/>
    </row>
    <row r="26" spans="1:18" x14ac:dyDescent="0.25">
      <c r="A26" s="17" t="s">
        <v>110</v>
      </c>
      <c r="B26" s="18"/>
      <c r="C26" s="18"/>
      <c r="D26" s="18"/>
      <c r="E26" s="18"/>
      <c r="F26" s="18"/>
      <c r="G26" s="19"/>
      <c r="H26" s="19"/>
      <c r="I26" s="15">
        <f>IF(OR(G26="",H26=""),"",G26*H26)</f>
      </c>
      <c r="J26" s="16">
        <f>IF(I26="","",IF(I26&gt;=16,"✕ Zeer hoog",IF(I26&gt;=10,"! Hoog",IF(I26&gt;=5,"! Midden","✓ Laag"))))</f>
      </c>
      <c r="K26" s="18"/>
      <c r="L26" s="18"/>
      <c r="M26" s="18"/>
      <c r="N26" s="19"/>
      <c r="O26" s="19"/>
      <c r="P26" s="16">
        <f>IF(OR(N26="",O26=""),"",N26*O26&amp;" · "&amp;IF(N26*O26&gt;=16,"✕ Zeer hoog",IF(N26*O26&gt;=10,"! Hoog",IF(N26*O26&gt;=5,"! Midden","✓ Laag"))))</f>
      </c>
      <c r="Q26" s="18"/>
      <c r="R26" s="18"/>
    </row>
    <row r="27" spans="1:18" x14ac:dyDescent="0.25">
      <c r="A27" s="17" t="s">
        <v>111</v>
      </c>
      <c r="B27" s="18"/>
      <c r="C27" s="18"/>
      <c r="D27" s="18"/>
      <c r="E27" s="18"/>
      <c r="F27" s="18"/>
      <c r="G27" s="19"/>
      <c r="H27" s="19"/>
      <c r="I27" s="15">
        <f>IF(OR(G27="",H27=""),"",G27*H27)</f>
      </c>
      <c r="J27" s="16">
        <f>IF(I27="","",IF(I27&gt;=16,"✕ Zeer hoog",IF(I27&gt;=10,"! Hoog",IF(I27&gt;=5,"! Midden","✓ Laag"))))</f>
      </c>
      <c r="K27" s="18"/>
      <c r="L27" s="18"/>
      <c r="M27" s="18"/>
      <c r="N27" s="19"/>
      <c r="O27" s="19"/>
      <c r="P27" s="16">
        <f>IF(OR(N27="",O27=""),"",N27*O27&amp;" · "&amp;IF(N27*O27&gt;=16,"✕ Zeer hoog",IF(N27*O27&gt;=10,"! Hoog",IF(N27*O27&gt;=5,"! Midden","✓ Laag"))))</f>
      </c>
      <c r="Q27" s="18"/>
      <c r="R27" s="18"/>
    </row>
    <row r="28" spans="1:18" x14ac:dyDescent="0.25">
      <c r="A28" s="17" t="s">
        <v>112</v>
      </c>
      <c r="B28" s="18"/>
      <c r="C28" s="18"/>
      <c r="D28" s="18"/>
      <c r="E28" s="18"/>
      <c r="F28" s="18"/>
      <c r="G28" s="19"/>
      <c r="H28" s="19"/>
      <c r="I28" s="15">
        <f>IF(OR(G28="",H28=""),"",G28*H28)</f>
      </c>
      <c r="J28" s="16">
        <f>IF(I28="","",IF(I28&gt;=16,"✕ Zeer hoog",IF(I28&gt;=10,"! Hoog",IF(I28&gt;=5,"! Midden","✓ Laag"))))</f>
      </c>
      <c r="K28" s="18"/>
      <c r="L28" s="18"/>
      <c r="M28" s="18"/>
      <c r="N28" s="19"/>
      <c r="O28" s="19"/>
      <c r="P28" s="16">
        <f>IF(OR(N28="",O28=""),"",N28*O28&amp;" · "&amp;IF(N28*O28&gt;=16,"✕ Zeer hoog",IF(N28*O28&gt;=10,"! Hoog",IF(N28*O28&gt;=5,"! Midden","✓ Laag"))))</f>
      </c>
      <c r="Q28" s="18"/>
      <c r="R28" s="18"/>
    </row>
    <row r="29" spans="1:18" x14ac:dyDescent="0.25">
      <c r="A29" s="17" t="s">
        <v>113</v>
      </c>
      <c r="B29" s="18"/>
      <c r="C29" s="18"/>
      <c r="D29" s="18"/>
      <c r="E29" s="18"/>
      <c r="F29" s="18"/>
      <c r="G29" s="19"/>
      <c r="H29" s="19"/>
      <c r="I29" s="15">
        <f>IF(OR(G29="",H29=""),"",G29*H29)</f>
      </c>
      <c r="J29" s="16">
        <f>IF(I29="","",IF(I29&gt;=16,"✕ Zeer hoog",IF(I29&gt;=10,"! Hoog",IF(I29&gt;=5,"! Midden","✓ Laag"))))</f>
      </c>
      <c r="K29" s="18"/>
      <c r="L29" s="18"/>
      <c r="M29" s="18"/>
      <c r="N29" s="19"/>
      <c r="O29" s="19"/>
      <c r="P29" s="16">
        <f>IF(OR(N29="",O29=""),"",N29*O29&amp;" · "&amp;IF(N29*O29&gt;=16,"✕ Zeer hoog",IF(N29*O29&gt;=10,"! Hoog",IF(N29*O29&gt;=5,"! Midden","✓ Laag"))))</f>
      </c>
      <c r="Q29" s="18"/>
      <c r="R29" s="18"/>
    </row>
    <row r="30" spans="1:18" x14ac:dyDescent="0.25">
      <c r="A30" s="17" t="s">
        <v>114</v>
      </c>
      <c r="B30" s="18"/>
      <c r="C30" s="18"/>
      <c r="D30" s="18"/>
      <c r="E30" s="18"/>
      <c r="F30" s="18"/>
      <c r="G30" s="19"/>
      <c r="H30" s="19"/>
      <c r="I30" s="15">
        <f>IF(OR(G30="",H30=""),"",G30*H30)</f>
      </c>
      <c r="J30" s="16">
        <f>IF(I30="","",IF(I30&gt;=16,"✕ Zeer hoog",IF(I30&gt;=10,"! Hoog",IF(I30&gt;=5,"! Midden","✓ Laag"))))</f>
      </c>
      <c r="K30" s="18"/>
      <c r="L30" s="18"/>
      <c r="M30" s="18"/>
      <c r="N30" s="19"/>
      <c r="O30" s="19"/>
      <c r="P30" s="16">
        <f>IF(OR(N30="",O30=""),"",N30*O30&amp;" · "&amp;IF(N30*O30&gt;=16,"✕ Zeer hoog",IF(N30*O30&gt;=10,"! Hoog",IF(N30*O30&gt;=5,"! Midden","✓ Laag"))))</f>
      </c>
      <c r="Q30" s="18"/>
      <c r="R30" s="18"/>
    </row>
    <row r="31" spans="1:18" x14ac:dyDescent="0.25">
      <c r="A31" s="17" t="s">
        <v>115</v>
      </c>
      <c r="B31" s="18"/>
      <c r="C31" s="18"/>
      <c r="D31" s="18"/>
      <c r="E31" s="18"/>
      <c r="F31" s="18"/>
      <c r="G31" s="19"/>
      <c r="H31" s="19"/>
      <c r="I31" s="15">
        <f>IF(OR(G31="",H31=""),"",G31*H31)</f>
      </c>
      <c r="J31" s="16">
        <f>IF(I31="","",IF(I31&gt;=16,"✕ Zeer hoog",IF(I31&gt;=10,"! Hoog",IF(I31&gt;=5,"! Midden","✓ Laag"))))</f>
      </c>
      <c r="K31" s="18"/>
      <c r="L31" s="18"/>
      <c r="M31" s="18"/>
      <c r="N31" s="19"/>
      <c r="O31" s="19"/>
      <c r="P31" s="16">
        <f>IF(OR(N31="",O31=""),"",N31*O31&amp;" · "&amp;IF(N31*O31&gt;=16,"✕ Zeer hoog",IF(N31*O31&gt;=10,"! Hoog",IF(N31*O31&gt;=5,"! Midden","✓ Laag"))))</f>
      </c>
      <c r="Q31" s="18"/>
      <c r="R31" s="18"/>
    </row>
    <row r="32" spans="1:18" x14ac:dyDescent="0.25">
      <c r="A32" s="17" t="s">
        <v>116</v>
      </c>
      <c r="B32" s="18"/>
      <c r="C32" s="18"/>
      <c r="D32" s="18"/>
      <c r="E32" s="18"/>
      <c r="F32" s="18"/>
      <c r="G32" s="19"/>
      <c r="H32" s="19"/>
      <c r="I32" s="15">
        <f>IF(OR(G32="",H32=""),"",G32*H32)</f>
      </c>
      <c r="J32" s="16">
        <f>IF(I32="","",IF(I32&gt;=16,"✕ Zeer hoog",IF(I32&gt;=10,"! Hoog",IF(I32&gt;=5,"! Midden","✓ Laag"))))</f>
      </c>
      <c r="K32" s="18"/>
      <c r="L32" s="18"/>
      <c r="M32" s="18"/>
      <c r="N32" s="19"/>
      <c r="O32" s="19"/>
      <c r="P32" s="16">
        <f>IF(OR(N32="",O32=""),"",N32*O32&amp;" · "&amp;IF(N32*O32&gt;=16,"✕ Zeer hoog",IF(N32*O32&gt;=10,"! Hoog",IF(N32*O32&gt;=5,"! Midden","✓ Laag"))))</f>
      </c>
      <c r="Q32" s="18"/>
      <c r="R32" s="18"/>
    </row>
    <row r="33" spans="1:18" x14ac:dyDescent="0.25">
      <c r="A33" s="17" t="s">
        <v>117</v>
      </c>
      <c r="B33" s="18"/>
      <c r="C33" s="18"/>
      <c r="D33" s="18"/>
      <c r="E33" s="18"/>
      <c r="F33" s="18"/>
      <c r="G33" s="19"/>
      <c r="H33" s="19"/>
      <c r="I33" s="15">
        <f>IF(OR(G33="",H33=""),"",G33*H33)</f>
      </c>
      <c r="J33" s="16">
        <f>IF(I33="","",IF(I33&gt;=16,"✕ Zeer hoog",IF(I33&gt;=10,"! Hoog",IF(I33&gt;=5,"! Midden","✓ Laag"))))</f>
      </c>
      <c r="K33" s="18"/>
      <c r="L33" s="18"/>
      <c r="M33" s="18"/>
      <c r="N33" s="19"/>
      <c r="O33" s="19"/>
      <c r="P33" s="16">
        <f>IF(OR(N33="",O33=""),"",N33*O33&amp;" · "&amp;IF(N33*O33&gt;=16,"✕ Zeer hoog",IF(N33*O33&gt;=10,"! Hoog",IF(N33*O33&gt;=5,"! Midden","✓ Laag"))))</f>
      </c>
      <c r="Q33" s="18"/>
      <c r="R33" s="18"/>
    </row>
    <row r="34" spans="1:18" x14ac:dyDescent="0.25">
      <c r="A34" s="17" t="s">
        <v>118</v>
      </c>
      <c r="B34" s="18"/>
      <c r="C34" s="18"/>
      <c r="D34" s="18"/>
      <c r="E34" s="18"/>
      <c r="F34" s="18"/>
      <c r="G34" s="19"/>
      <c r="H34" s="19"/>
      <c r="I34" s="15">
        <f>IF(OR(G34="",H34=""),"",G34*H34)</f>
      </c>
      <c r="J34" s="16">
        <f>IF(I34="","",IF(I34&gt;=16,"✕ Zeer hoog",IF(I34&gt;=10,"! Hoog",IF(I34&gt;=5,"! Midden","✓ Laag"))))</f>
      </c>
      <c r="K34" s="18"/>
      <c r="L34" s="18"/>
      <c r="M34" s="18"/>
      <c r="N34" s="19"/>
      <c r="O34" s="19"/>
      <c r="P34" s="16">
        <f>IF(OR(N34="",O34=""),"",N34*O34&amp;" · "&amp;IF(N34*O34&gt;=16,"✕ Zeer hoog",IF(N34*O34&gt;=10,"! Hoog",IF(N34*O34&gt;=5,"! Midden","✓ Laag"))))</f>
      </c>
      <c r="Q34" s="18"/>
      <c r="R34" s="18"/>
    </row>
    <row r="35" spans="1:18" x14ac:dyDescent="0.25">
      <c r="A35" s="17" t="s">
        <v>119</v>
      </c>
      <c r="B35" s="18"/>
      <c r="C35" s="18"/>
      <c r="D35" s="18"/>
      <c r="E35" s="18"/>
      <c r="F35" s="18"/>
      <c r="G35" s="19"/>
      <c r="H35" s="19"/>
      <c r="I35" s="15">
        <f>IF(OR(G35="",H35=""),"",G35*H35)</f>
      </c>
      <c r="J35" s="16">
        <f>IF(I35="","",IF(I35&gt;=16,"✕ Zeer hoog",IF(I35&gt;=10,"! Hoog",IF(I35&gt;=5,"! Midden","✓ Laag"))))</f>
      </c>
      <c r="K35" s="18"/>
      <c r="L35" s="18"/>
      <c r="M35" s="18"/>
      <c r="N35" s="19"/>
      <c r="O35" s="19"/>
      <c r="P35" s="16">
        <f>IF(OR(N35="",O35=""),"",N35*O35&amp;" · "&amp;IF(N35*O35&gt;=16,"✕ Zeer hoog",IF(N35*O35&gt;=10,"! Hoog",IF(N35*O35&gt;=5,"! Midden","✓ Laag"))))</f>
      </c>
      <c r="Q35" s="18"/>
      <c r="R35" s="18"/>
    </row>
    <row r="36" spans="1:18" x14ac:dyDescent="0.25">
      <c r="A36" s="17" t="s">
        <v>120</v>
      </c>
      <c r="B36" s="18"/>
      <c r="C36" s="18"/>
      <c r="D36" s="18"/>
      <c r="E36" s="18"/>
      <c r="F36" s="18"/>
      <c r="G36" s="19"/>
      <c r="H36" s="19"/>
      <c r="I36" s="15">
        <f>IF(OR(G36="",H36=""),"",G36*H36)</f>
      </c>
      <c r="J36" s="16">
        <f>IF(I36="","",IF(I36&gt;=16,"✕ Zeer hoog",IF(I36&gt;=10,"! Hoog",IF(I36&gt;=5,"! Midden","✓ Laag"))))</f>
      </c>
      <c r="K36" s="18"/>
      <c r="L36" s="18"/>
      <c r="M36" s="18"/>
      <c r="N36" s="19"/>
      <c r="O36" s="19"/>
      <c r="P36" s="16">
        <f>IF(OR(N36="",O36=""),"",N36*O36&amp;" · "&amp;IF(N36*O36&gt;=16,"✕ Zeer hoog",IF(N36*O36&gt;=10,"! Hoog",IF(N36*O36&gt;=5,"! Midden","✓ Laag"))))</f>
      </c>
      <c r="Q36" s="18"/>
      <c r="R36" s="18"/>
    </row>
    <row r="37" spans="1:18" x14ac:dyDescent="0.25">
      <c r="A37" s="17" t="s">
        <v>121</v>
      </c>
      <c r="B37" s="18"/>
      <c r="C37" s="18"/>
      <c r="D37" s="18"/>
      <c r="E37" s="18"/>
      <c r="F37" s="18"/>
      <c r="G37" s="19"/>
      <c r="H37" s="19"/>
      <c r="I37" s="15">
        <f>IF(OR(G37="",H37=""),"",G37*H37)</f>
      </c>
      <c r="J37" s="16">
        <f>IF(I37="","",IF(I37&gt;=16,"✕ Zeer hoog",IF(I37&gt;=10,"! Hoog",IF(I37&gt;=5,"! Midden","✓ Laag"))))</f>
      </c>
      <c r="K37" s="18"/>
      <c r="L37" s="18"/>
      <c r="M37" s="18"/>
      <c r="N37" s="19"/>
      <c r="O37" s="19"/>
      <c r="P37" s="16">
        <f>IF(OR(N37="",O37=""),"",N37*O37&amp;" · "&amp;IF(N37*O37&gt;=16,"✕ Zeer hoog",IF(N37*O37&gt;=10,"! Hoog",IF(N37*O37&gt;=5,"! Midden","✓ Laag"))))</f>
      </c>
      <c r="Q37" s="18"/>
      <c r="R37" s="18"/>
    </row>
    <row r="38" spans="1:18" x14ac:dyDescent="0.25">
      <c r="A38" s="17" t="s">
        <v>122</v>
      </c>
      <c r="B38" s="18"/>
      <c r="C38" s="18"/>
      <c r="D38" s="18"/>
      <c r="E38" s="18"/>
      <c r="F38" s="18"/>
      <c r="G38" s="19"/>
      <c r="H38" s="19"/>
      <c r="I38" s="15">
        <f>IF(OR(G38="",H38=""),"",G38*H38)</f>
      </c>
      <c r="J38" s="16">
        <f>IF(I38="","",IF(I38&gt;=16,"✕ Zeer hoog",IF(I38&gt;=10,"! Hoog",IF(I38&gt;=5,"! Midden","✓ Laag"))))</f>
      </c>
      <c r="K38" s="18"/>
      <c r="L38" s="18"/>
      <c r="M38" s="18"/>
      <c r="N38" s="19"/>
      <c r="O38" s="19"/>
      <c r="P38" s="16">
        <f>IF(OR(N38="",O38=""),"",N38*O38&amp;" · "&amp;IF(N38*O38&gt;=16,"✕ Zeer hoog",IF(N38*O38&gt;=10,"! Hoog",IF(N38*O38&gt;=5,"! Midden","✓ Laag"))))</f>
      </c>
      <c r="Q38" s="18"/>
      <c r="R38" s="18"/>
    </row>
    <row r="39" spans="1:18" x14ac:dyDescent="0.25">
      <c r="A39" s="17" t="s">
        <v>123</v>
      </c>
      <c r="B39" s="18"/>
      <c r="C39" s="18"/>
      <c r="D39" s="18"/>
      <c r="E39" s="18"/>
      <c r="F39" s="18"/>
      <c r="G39" s="19"/>
      <c r="H39" s="19"/>
      <c r="I39" s="15">
        <f>IF(OR(G39="",H39=""),"",G39*H39)</f>
      </c>
      <c r="J39" s="16">
        <f>IF(I39="","",IF(I39&gt;=16,"✕ Zeer hoog",IF(I39&gt;=10,"! Hoog",IF(I39&gt;=5,"! Midden","✓ Laag"))))</f>
      </c>
      <c r="K39" s="18"/>
      <c r="L39" s="18"/>
      <c r="M39" s="18"/>
      <c r="N39" s="19"/>
      <c r="O39" s="19"/>
      <c r="P39" s="16">
        <f>IF(OR(N39="",O39=""),"",N39*O39&amp;" · "&amp;IF(N39*O39&gt;=16,"✕ Zeer hoog",IF(N39*O39&gt;=10,"! Hoog",IF(N39*O39&gt;=5,"! Midden","✓ Laag"))))</f>
      </c>
      <c r="Q39" s="18"/>
      <c r="R39" s="18"/>
    </row>
    <row r="40" spans="1:18" x14ac:dyDescent="0.25">
      <c r="A40" s="17" t="s">
        <v>124</v>
      </c>
      <c r="B40" s="18"/>
      <c r="C40" s="18"/>
      <c r="D40" s="18"/>
      <c r="E40" s="18"/>
      <c r="F40" s="18"/>
      <c r="G40" s="19"/>
      <c r="H40" s="19"/>
      <c r="I40" s="15">
        <f>IF(OR(G40="",H40=""),"",G40*H40)</f>
      </c>
      <c r="J40" s="16">
        <f>IF(I40="","",IF(I40&gt;=16,"✕ Zeer hoog",IF(I40&gt;=10,"! Hoog",IF(I40&gt;=5,"! Midden","✓ Laag"))))</f>
      </c>
      <c r="K40" s="18"/>
      <c r="L40" s="18"/>
      <c r="M40" s="18"/>
      <c r="N40" s="19"/>
      <c r="O40" s="19"/>
      <c r="P40" s="16">
        <f>IF(OR(N40="",O40=""),"",N40*O40&amp;" · "&amp;IF(N40*O40&gt;=16,"✕ Zeer hoog",IF(N40*O40&gt;=10,"! Hoog",IF(N40*O40&gt;=5,"! Midden","✓ Laag"))))</f>
      </c>
      <c r="Q40" s="18"/>
      <c r="R40" s="18"/>
    </row>
    <row r="41" spans="1:18" x14ac:dyDescent="0.25">
      <c r="A41" s="17" t="s">
        <v>125</v>
      </c>
      <c r="B41" s="18"/>
      <c r="C41" s="18"/>
      <c r="D41" s="18"/>
      <c r="E41" s="18"/>
      <c r="F41" s="18"/>
      <c r="G41" s="19"/>
      <c r="H41" s="19"/>
      <c r="I41" s="15">
        <f>IF(OR(G41="",H41=""),"",G41*H41)</f>
      </c>
      <c r="J41" s="16">
        <f>IF(I41="","",IF(I41&gt;=16,"✕ Zeer hoog",IF(I41&gt;=10,"! Hoog",IF(I41&gt;=5,"! Midden","✓ Laag"))))</f>
      </c>
      <c r="K41" s="18"/>
      <c r="L41" s="18"/>
      <c r="M41" s="18"/>
      <c r="N41" s="19"/>
      <c r="O41" s="19"/>
      <c r="P41" s="16">
        <f>IF(OR(N41="",O41=""),"",N41*O41&amp;" · "&amp;IF(N41*O41&gt;=16,"✕ Zeer hoog",IF(N41*O41&gt;=10,"! Hoog",IF(N41*O41&gt;=5,"! Midden","✓ Laag"))))</f>
      </c>
      <c r="Q41" s="18"/>
      <c r="R41" s="18"/>
    </row>
    <row r="42" spans="1:18" x14ac:dyDescent="0.25">
      <c r="A42" s="17" t="s">
        <v>126</v>
      </c>
      <c r="B42" s="18"/>
      <c r="C42" s="18"/>
      <c r="D42" s="18"/>
      <c r="E42" s="18"/>
      <c r="F42" s="18"/>
      <c r="G42" s="19"/>
      <c r="H42" s="19"/>
      <c r="I42" s="15">
        <f>IF(OR(G42="",H42=""),"",G42*H42)</f>
      </c>
      <c r="J42" s="16">
        <f>IF(I42="","",IF(I42&gt;=16,"✕ Zeer hoog",IF(I42&gt;=10,"! Hoog",IF(I42&gt;=5,"! Midden","✓ Laag"))))</f>
      </c>
      <c r="K42" s="18"/>
      <c r="L42" s="18"/>
      <c r="M42" s="18"/>
      <c r="N42" s="19"/>
      <c r="O42" s="19"/>
      <c r="P42" s="16">
        <f>IF(OR(N42="",O42=""),"",N42*O42&amp;" · "&amp;IF(N42*O42&gt;=16,"✕ Zeer hoog",IF(N42*O42&gt;=10,"! Hoog",IF(N42*O42&gt;=5,"! Midden","✓ Laag"))))</f>
      </c>
      <c r="Q42" s="18"/>
      <c r="R42" s="18"/>
    </row>
    <row r="43" spans="1:18" x14ac:dyDescent="0.25">
      <c r="A43" s="17" t="s">
        <v>127</v>
      </c>
      <c r="B43" s="18"/>
      <c r="C43" s="18"/>
      <c r="D43" s="18"/>
      <c r="E43" s="18"/>
      <c r="F43" s="18"/>
      <c r="G43" s="19"/>
      <c r="H43" s="19"/>
      <c r="I43" s="15">
        <f>IF(OR(G43="",H43=""),"",G43*H43)</f>
      </c>
      <c r="J43" s="16">
        <f>IF(I43="","",IF(I43&gt;=16,"✕ Zeer hoog",IF(I43&gt;=10,"! Hoog",IF(I43&gt;=5,"! Midden","✓ Laag"))))</f>
      </c>
      <c r="K43" s="18"/>
      <c r="L43" s="18"/>
      <c r="M43" s="18"/>
      <c r="N43" s="19"/>
      <c r="O43" s="19"/>
      <c r="P43" s="16">
        <f>IF(OR(N43="",O43=""),"",N43*O43&amp;" · "&amp;IF(N43*O43&gt;=16,"✕ Zeer hoog",IF(N43*O43&gt;=10,"! Hoog",IF(N43*O43&gt;=5,"! Midden","✓ Laag"))))</f>
      </c>
      <c r="Q43" s="18"/>
      <c r="R43" s="18"/>
    </row>
    <row r="44" spans="1:18" x14ac:dyDescent="0.25">
      <c r="A44" s="17" t="s">
        <v>128</v>
      </c>
      <c r="B44" s="18"/>
      <c r="C44" s="18"/>
      <c r="D44" s="18"/>
      <c r="E44" s="18"/>
      <c r="F44" s="18"/>
      <c r="G44" s="19"/>
      <c r="H44" s="19"/>
      <c r="I44" s="15">
        <f>IF(OR(G44="",H44=""),"",G44*H44)</f>
      </c>
      <c r="J44" s="16">
        <f>IF(I44="","",IF(I44&gt;=16,"✕ Zeer hoog",IF(I44&gt;=10,"! Hoog",IF(I44&gt;=5,"! Midden","✓ Laag"))))</f>
      </c>
      <c r="K44" s="18"/>
      <c r="L44" s="18"/>
      <c r="M44" s="18"/>
      <c r="N44" s="19"/>
      <c r="O44" s="19"/>
      <c r="P44" s="16">
        <f>IF(OR(N44="",O44=""),"",N44*O44&amp;" · "&amp;IF(N44*O44&gt;=16,"✕ Zeer hoog",IF(N44*O44&gt;=10,"! Hoog",IF(N44*O44&gt;=5,"! Midden","✓ Laag"))))</f>
      </c>
      <c r="Q44" s="18"/>
      <c r="R44" s="18"/>
    </row>
    <row r="45" spans="1:18" x14ac:dyDescent="0.25">
      <c r="A45" s="17" t="s">
        <v>129</v>
      </c>
      <c r="B45" s="18"/>
      <c r="C45" s="18"/>
      <c r="D45" s="18"/>
      <c r="E45" s="18"/>
      <c r="F45" s="18"/>
      <c r="G45" s="19"/>
      <c r="H45" s="19"/>
      <c r="I45" s="15">
        <f>IF(OR(G45="",H45=""),"",G45*H45)</f>
      </c>
      <c r="J45" s="16">
        <f>IF(I45="","",IF(I45&gt;=16,"✕ Zeer hoog",IF(I45&gt;=10,"! Hoog",IF(I45&gt;=5,"! Midden","✓ Laag"))))</f>
      </c>
      <c r="K45" s="18"/>
      <c r="L45" s="18"/>
      <c r="M45" s="18"/>
      <c r="N45" s="19"/>
      <c r="O45" s="19"/>
      <c r="P45" s="16">
        <f>IF(OR(N45="",O45=""),"",N45*O45&amp;" · "&amp;IF(N45*O45&gt;=16,"✕ Zeer hoog",IF(N45*O45&gt;=10,"! Hoog",IF(N45*O45&gt;=5,"! Midden","✓ Laag"))))</f>
      </c>
      <c r="Q45" s="18"/>
      <c r="R45" s="18"/>
    </row>
    <row r="46" spans="1:18" x14ac:dyDescent="0.25">
      <c r="A46" s="17" t="s">
        <v>130</v>
      </c>
      <c r="B46" s="18"/>
      <c r="C46" s="18"/>
      <c r="D46" s="18"/>
      <c r="E46" s="18"/>
      <c r="F46" s="18"/>
      <c r="G46" s="19"/>
      <c r="H46" s="19"/>
      <c r="I46" s="15">
        <f>IF(OR(G46="",H46=""),"",G46*H46)</f>
      </c>
      <c r="J46" s="16">
        <f>IF(I46="","",IF(I46&gt;=16,"✕ Zeer hoog",IF(I46&gt;=10,"! Hoog",IF(I46&gt;=5,"! Midden","✓ Laag"))))</f>
      </c>
      <c r="K46" s="18"/>
      <c r="L46" s="18"/>
      <c r="M46" s="18"/>
      <c r="N46" s="19"/>
      <c r="O46" s="19"/>
      <c r="P46" s="16">
        <f>IF(OR(N46="",O46=""),"",N46*O46&amp;" · "&amp;IF(N46*O46&gt;=16,"✕ Zeer hoog",IF(N46*O46&gt;=10,"! Hoog",IF(N46*O46&gt;=5,"! Midden","✓ Laag"))))</f>
      </c>
      <c r="Q46" s="18"/>
      <c r="R46" s="18"/>
    </row>
    <row r="47" spans="1:18" x14ac:dyDescent="0.25">
      <c r="A47" s="17" t="s">
        <v>131</v>
      </c>
      <c r="B47" s="18"/>
      <c r="C47" s="18"/>
      <c r="D47" s="18"/>
      <c r="E47" s="18"/>
      <c r="F47" s="18"/>
      <c r="G47" s="19"/>
      <c r="H47" s="19"/>
      <c r="I47" s="15">
        <f>IF(OR(G47="",H47=""),"",G47*H47)</f>
      </c>
      <c r="J47" s="16">
        <f>IF(I47="","",IF(I47&gt;=16,"✕ Zeer hoog",IF(I47&gt;=10,"! Hoog",IF(I47&gt;=5,"! Midden","✓ Laag"))))</f>
      </c>
      <c r="K47" s="18"/>
      <c r="L47" s="18"/>
      <c r="M47" s="18"/>
      <c r="N47" s="19"/>
      <c r="O47" s="19"/>
      <c r="P47" s="16">
        <f>IF(OR(N47="",O47=""),"",N47*O47&amp;" · "&amp;IF(N47*O47&gt;=16,"✕ Zeer hoog",IF(N47*O47&gt;=10,"! Hoog",IF(N47*O47&gt;=5,"! Midden","✓ Laag"))))</f>
      </c>
      <c r="Q47" s="18"/>
      <c r="R47" s="18"/>
    </row>
    <row r="48" spans="1:18" x14ac:dyDescent="0.25">
      <c r="A48" s="17" t="s">
        <v>132</v>
      </c>
      <c r="B48" s="18"/>
      <c r="C48" s="18"/>
      <c r="D48" s="18"/>
      <c r="E48" s="18"/>
      <c r="F48" s="18"/>
      <c r="G48" s="19"/>
      <c r="H48" s="19"/>
      <c r="I48" s="15">
        <f>IF(OR(G48="",H48=""),"",G48*H48)</f>
      </c>
      <c r="J48" s="16">
        <f>IF(I48="","",IF(I48&gt;=16,"✕ Zeer hoog",IF(I48&gt;=10,"! Hoog",IF(I48&gt;=5,"! Midden","✓ Laag"))))</f>
      </c>
      <c r="K48" s="18"/>
      <c r="L48" s="18"/>
      <c r="M48" s="18"/>
      <c r="N48" s="19"/>
      <c r="O48" s="19"/>
      <c r="P48" s="16">
        <f>IF(OR(N48="",O48=""),"",N48*O48&amp;" · "&amp;IF(N48*O48&gt;=16,"✕ Zeer hoog",IF(N48*O48&gt;=10,"! Hoog",IF(N48*O48&gt;=5,"! Midden","✓ Laag"))))</f>
      </c>
      <c r="Q48" s="18"/>
      <c r="R48" s="18"/>
    </row>
    <row r="49" spans="1:18" x14ac:dyDescent="0.25">
      <c r="A49" s="17" t="s">
        <v>133</v>
      </c>
      <c r="B49" s="18"/>
      <c r="C49" s="18"/>
      <c r="D49" s="18"/>
      <c r="E49" s="18"/>
      <c r="F49" s="18"/>
      <c r="G49" s="19"/>
      <c r="H49" s="19"/>
      <c r="I49" s="15">
        <f>IF(OR(G49="",H49=""),"",G49*H49)</f>
      </c>
      <c r="J49" s="16">
        <f>IF(I49="","",IF(I49&gt;=16,"✕ Zeer hoog",IF(I49&gt;=10,"! Hoog",IF(I49&gt;=5,"! Midden","✓ Laag"))))</f>
      </c>
      <c r="K49" s="18"/>
      <c r="L49" s="18"/>
      <c r="M49" s="18"/>
      <c r="N49" s="19"/>
      <c r="O49" s="19"/>
      <c r="P49" s="16">
        <f>IF(OR(N49="",O49=""),"",N49*O49&amp;" · "&amp;IF(N49*O49&gt;=16,"✕ Zeer hoog",IF(N49*O49&gt;=10,"! Hoog",IF(N49*O49&gt;=5,"! Midden","✓ Laag"))))</f>
      </c>
      <c r="Q49" s="18"/>
      <c r="R49" s="18"/>
    </row>
    <row r="50" spans="1:18" x14ac:dyDescent="0.25">
      <c r="A50" s="17" t="s">
        <v>134</v>
      </c>
      <c r="B50" s="18"/>
      <c r="C50" s="18"/>
      <c r="D50" s="18"/>
      <c r="E50" s="18"/>
      <c r="F50" s="18"/>
      <c r="G50" s="19"/>
      <c r="H50" s="19"/>
      <c r="I50" s="15">
        <f>IF(OR(G50="",H50=""),"",G50*H50)</f>
      </c>
      <c r="J50" s="16">
        <f>IF(I50="","",IF(I50&gt;=16,"✕ Zeer hoog",IF(I50&gt;=10,"! Hoog",IF(I50&gt;=5,"! Midden","✓ Laag"))))</f>
      </c>
      <c r="K50" s="18"/>
      <c r="L50" s="18"/>
      <c r="M50" s="18"/>
      <c r="N50" s="19"/>
      <c r="O50" s="19"/>
      <c r="P50" s="16">
        <f>IF(OR(N50="",O50=""),"",N50*O50&amp;" · "&amp;IF(N50*O50&gt;=16,"✕ Zeer hoog",IF(N50*O50&gt;=10,"! Hoog",IF(N50*O50&gt;=5,"! Midden","✓ Laag"))))</f>
      </c>
      <c r="Q50" s="18"/>
      <c r="R50" s="18"/>
    </row>
    <row r="51" spans="1:18" x14ac:dyDescent="0.25">
      <c r="A51" s="17" t="s">
        <v>135</v>
      </c>
      <c r="B51" s="18"/>
      <c r="C51" s="18"/>
      <c r="D51" s="18"/>
      <c r="E51" s="18"/>
      <c r="F51" s="18"/>
      <c r="G51" s="19"/>
      <c r="H51" s="19"/>
      <c r="I51" s="15">
        <f>IF(OR(G51="",H51=""),"",G51*H51)</f>
      </c>
      <c r="J51" s="16">
        <f>IF(I51="","",IF(I51&gt;=16,"✕ Zeer hoog",IF(I51&gt;=10,"! Hoog",IF(I51&gt;=5,"! Midden","✓ Laag"))))</f>
      </c>
      <c r="K51" s="18"/>
      <c r="L51" s="18"/>
      <c r="M51" s="18"/>
      <c r="N51" s="19"/>
      <c r="O51" s="19"/>
      <c r="P51" s="16">
        <f>IF(OR(N51="",O51=""),"",N51*O51&amp;" · "&amp;IF(N51*O51&gt;=16,"✕ Zeer hoog",IF(N51*O51&gt;=10,"! Hoog",IF(N51*O51&gt;=5,"! Midden","✓ Laag"))))</f>
      </c>
      <c r="Q51" s="18"/>
      <c r="R51" s="18"/>
    </row>
    <row r="52" spans="1:18" x14ac:dyDescent="0.25">
      <c r="A52" s="17" t="s">
        <v>136</v>
      </c>
      <c r="B52" s="18"/>
      <c r="C52" s="18"/>
      <c r="D52" s="18"/>
      <c r="E52" s="18"/>
      <c r="F52" s="18"/>
      <c r="G52" s="19"/>
      <c r="H52" s="19"/>
      <c r="I52" s="15">
        <f>IF(OR(G52="",H52=""),"",G52*H52)</f>
      </c>
      <c r="J52" s="16">
        <f>IF(I52="","",IF(I52&gt;=16,"✕ Zeer hoog",IF(I52&gt;=10,"! Hoog",IF(I52&gt;=5,"! Midden","✓ Laag"))))</f>
      </c>
      <c r="K52" s="18"/>
      <c r="L52" s="18"/>
      <c r="M52" s="18"/>
      <c r="N52" s="19"/>
      <c r="O52" s="19"/>
      <c r="P52" s="16">
        <f>IF(OR(N52="",O52=""),"",N52*O52&amp;" · "&amp;IF(N52*O52&gt;=16,"✕ Zeer hoog",IF(N52*O52&gt;=10,"! Hoog",IF(N52*O52&gt;=5,"! Midden","✓ Laag"))))</f>
      </c>
      <c r="Q52" s="18"/>
      <c r="R52" s="18"/>
    </row>
    <row r="53" spans="1:18" x14ac:dyDescent="0.25">
      <c r="A53" s="17" t="s">
        <v>137</v>
      </c>
      <c r="B53" s="18"/>
      <c r="C53" s="18"/>
      <c r="D53" s="18"/>
      <c r="E53" s="18"/>
      <c r="F53" s="18"/>
      <c r="G53" s="19"/>
      <c r="H53" s="19"/>
      <c r="I53" s="15">
        <f>IF(OR(G53="",H53=""),"",G53*H53)</f>
      </c>
      <c r="J53" s="16">
        <f>IF(I53="","",IF(I53&gt;=16,"✕ Zeer hoog",IF(I53&gt;=10,"! Hoog",IF(I53&gt;=5,"! Midden","✓ Laag"))))</f>
      </c>
      <c r="K53" s="18"/>
      <c r="L53" s="18"/>
      <c r="M53" s="18"/>
      <c r="N53" s="19"/>
      <c r="O53" s="19"/>
      <c r="P53" s="16">
        <f>IF(OR(N53="",O53=""),"",N53*O53&amp;" · "&amp;IF(N53*O53&gt;=16,"✕ Zeer hoog",IF(N53*O53&gt;=10,"! Hoog",IF(N53*O53&gt;=5,"! Midden","✓ Laag"))))</f>
      </c>
      <c r="Q53" s="18"/>
      <c r="R53" s="18"/>
    </row>
  </sheetData>
  <autoFilter ref="A3:R53"/>
  <mergeCells count="2">
    <mergeCell ref="A1:R1"/>
    <mergeCell ref="A2:R2"/>
  </mergeCells>
  <conditionalFormatting sqref="J4:J53">
    <cfRule type="containsText" dxfId="4" priority="1">
      <formula>NOT(ISERROR(SEARCH("✓ Laag",J4)))</formula>
    </cfRule>
    <cfRule type="containsText" dxfId="5" priority="1">
      <formula>NOT(ISERROR(SEARCH("! Midden",J4)))</formula>
    </cfRule>
    <cfRule type="containsText" dxfId="6" priority="1">
      <formula>NOT(ISERROR(SEARCH("! Hoog",J4)))</formula>
    </cfRule>
    <cfRule type="containsText" dxfId="7" priority="1">
      <formula>NOT(ISERROR(SEARCH("✕ Zeer hoog",J4)))</formula>
    </cfRule>
  </conditionalFormatting>
  <conditionalFormatting sqref="P4:P53">
    <cfRule type="containsText" dxfId="4" priority="1">
      <formula>NOT(ISERROR(SEARCH("✓ Laag",P4)))</formula>
    </cfRule>
    <cfRule type="containsText" dxfId="5" priority="1">
      <formula>NOT(ISERROR(SEARCH("! Midden",P4)))</formula>
    </cfRule>
    <cfRule type="containsText" dxfId="6" priority="1">
      <formula>NOT(ISERROR(SEARCH("! Hoog",P4)))</formula>
    </cfRule>
    <cfRule type="containsText" dxfId="7" priority="1">
      <formula>NOT(ISERROR(SEARCH("✕ Zeer hoog",P4)))</formula>
    </cfRule>
  </conditionalFormatting>
  <dataValidations count="6">
    <dataValidation type="list" allowBlank="1" sqref="E4:E53">
      <formula1>"V,I,B,V, I,V, B,I, B,V, I, B"</formula1>
    </dataValidation>
    <dataValidation type="whole" allowBlank="1" showErrorMessage="1" errorTitle="Score 1 tot en met 5" error="Kies een score van 1 tot en met 5 (zie het blad Criteria)." sqref="G4:G53">
      <formula1>1</formula1>
      <formula2>5</formula2>
    </dataValidation>
    <dataValidation type="whole" allowBlank="1" showErrorMessage="1" errorTitle="Score 1 tot en met 5" error="Kies een score van 1 tot en met 5 (zie het blad Criteria)." sqref="H4:H53">
      <formula1>1</formula1>
      <formula2>5</formula2>
    </dataValidation>
    <dataValidation type="list" allowBlank="1" sqref="K4:K53">
      <formula1>"Verminderen,Vermijden,Delen,Accepteren"</formula1>
    </dataValidation>
    <dataValidation type="whole" allowBlank="1" showErrorMessage="1" errorTitle="Score 1 tot en met 5" error="Kies een score van 1 tot en met 5 (zie het blad Criteria)." sqref="N4:N53">
      <formula1>1</formula1>
      <formula2>5</formula2>
    </dataValidation>
    <dataValidation type="whole" allowBlank="1" showErrorMessage="1" errorTitle="Score 1 tot en met 5" error="Kies een score van 1 tot en met 5 (zie het blad Criteria)." sqref="O4:O53">
      <formula1>1</formula1>
      <formula2>5</formula2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F6B"/>
  </sheetPr>
  <dimension ref="A1:G39"/>
  <sheetViews>
    <sheetView workbookViewId="0" showGridLines="0"/>
  </sheetViews>
  <sheetFormatPr defaultRowHeight="15" outlineLevelRow="0" outlineLevelCol="0" x14ac:dyDescent="55"/>
  <cols>
    <col min="1" max="6" width="18" customWidth="1"/>
    <col min="7" max="7" width="60" customWidth="1"/>
  </cols>
  <sheetData>
    <row r="1" spans="1:1" x14ac:dyDescent="0.25">
      <c r="A1" s="20" t="s">
        <v>138</v>
      </c>
    </row>
    <row r="2" ht="30" customHeight="1" spans="1:7" x14ac:dyDescent="0.25">
      <c r="A2" s="21" t="s">
        <v>139</v>
      </c>
      <c r="B2" s="21"/>
      <c r="C2" s="21"/>
      <c r="D2" s="21"/>
      <c r="E2" s="21"/>
      <c r="F2" s="21"/>
      <c r="G2" s="21"/>
    </row>
    <row r="4" spans="1:1" x14ac:dyDescent="0.25">
      <c r="A4" s="9" t="s">
        <v>140</v>
      </c>
    </row>
    <row r="5" ht="30" customHeight="1" spans="1:7" x14ac:dyDescent="0.25">
      <c r="A5" s="11" t="s">
        <v>141</v>
      </c>
      <c r="B5" s="11" t="s">
        <v>142</v>
      </c>
      <c r="C5" s="11" t="s">
        <v>143</v>
      </c>
      <c r="D5" s="11" t="s">
        <v>143</v>
      </c>
      <c r="E5" s="11" t="s">
        <v>143</v>
      </c>
      <c r="F5" s="11" t="s">
        <v>143</v>
      </c>
      <c r="G5" s="11" t="s">
        <v>144</v>
      </c>
    </row>
    <row r="6" ht="30" customHeight="1" spans="1:7" x14ac:dyDescent="0.25">
      <c r="A6" s="22">
        <v>1</v>
      </c>
      <c r="B6" s="22" t="s">
        <v>145</v>
      </c>
      <c r="C6" s="22"/>
      <c r="D6" s="22"/>
      <c r="E6" s="22"/>
      <c r="F6" s="22"/>
      <c r="G6" s="23" t="s">
        <v>146</v>
      </c>
    </row>
    <row r="7" ht="30" customHeight="1" spans="1:7" x14ac:dyDescent="0.25">
      <c r="A7" s="22">
        <v>2</v>
      </c>
      <c r="B7" s="22" t="s">
        <v>147</v>
      </c>
      <c r="C7" s="22"/>
      <c r="D7" s="22"/>
      <c r="E7" s="22"/>
      <c r="F7" s="22"/>
      <c r="G7" s="23" t="s">
        <v>148</v>
      </c>
    </row>
    <row r="8" ht="30" customHeight="1" spans="1:7" x14ac:dyDescent="0.25">
      <c r="A8" s="22">
        <v>3</v>
      </c>
      <c r="B8" s="22" t="s">
        <v>149</v>
      </c>
      <c r="C8" s="22"/>
      <c r="D8" s="22"/>
      <c r="E8" s="22"/>
      <c r="F8" s="22"/>
      <c r="G8" s="23" t="s">
        <v>150</v>
      </c>
    </row>
    <row r="9" ht="30" customHeight="1" spans="1:7" x14ac:dyDescent="0.25">
      <c r="A9" s="22">
        <v>4</v>
      </c>
      <c r="B9" s="22" t="s">
        <v>151</v>
      </c>
      <c r="C9" s="22"/>
      <c r="D9" s="22"/>
      <c r="E9" s="22"/>
      <c r="F9" s="22"/>
      <c r="G9" s="23" t="s">
        <v>152</v>
      </c>
    </row>
    <row r="10" ht="30" customHeight="1" spans="1:7" x14ac:dyDescent="0.25">
      <c r="A10" s="22">
        <v>5</v>
      </c>
      <c r="B10" s="22" t="s">
        <v>153</v>
      </c>
      <c r="C10" s="22"/>
      <c r="D10" s="22"/>
      <c r="E10" s="22"/>
      <c r="F10" s="22"/>
      <c r="G10" s="23" t="s">
        <v>154</v>
      </c>
    </row>
    <row r="12" spans="1:1" x14ac:dyDescent="0.25">
      <c r="A12" s="9" t="s">
        <v>155</v>
      </c>
    </row>
    <row r="13" ht="30" customHeight="1" spans="1:7" x14ac:dyDescent="0.25">
      <c r="A13" s="11" t="s">
        <v>141</v>
      </c>
      <c r="B13" s="11" t="s">
        <v>142</v>
      </c>
      <c r="C13" s="11" t="s">
        <v>143</v>
      </c>
      <c r="D13" s="11" t="s">
        <v>143</v>
      </c>
      <c r="E13" s="11" t="s">
        <v>143</v>
      </c>
      <c r="F13" s="11" t="s">
        <v>143</v>
      </c>
      <c r="G13" s="11" t="s">
        <v>144</v>
      </c>
    </row>
    <row r="14" ht="30" customHeight="1" spans="1:7" x14ac:dyDescent="0.25">
      <c r="A14" s="22">
        <v>1</v>
      </c>
      <c r="B14" s="22" t="s">
        <v>156</v>
      </c>
      <c r="C14" s="22"/>
      <c r="D14" s="22"/>
      <c r="E14" s="22"/>
      <c r="F14" s="22"/>
      <c r="G14" s="23" t="s">
        <v>157</v>
      </c>
    </row>
    <row r="15" ht="30" customHeight="1" spans="1:7" x14ac:dyDescent="0.25">
      <c r="A15" s="22">
        <v>2</v>
      </c>
      <c r="B15" s="22" t="s">
        <v>147</v>
      </c>
      <c r="C15" s="22"/>
      <c r="D15" s="22"/>
      <c r="E15" s="22"/>
      <c r="F15" s="22"/>
      <c r="G15" s="23" t="s">
        <v>158</v>
      </c>
    </row>
    <row r="16" ht="30" customHeight="1" spans="1:7" x14ac:dyDescent="0.25">
      <c r="A16" s="22">
        <v>3</v>
      </c>
      <c r="B16" s="22" t="s">
        <v>159</v>
      </c>
      <c r="C16" s="22"/>
      <c r="D16" s="22"/>
      <c r="E16" s="22"/>
      <c r="F16" s="22"/>
      <c r="G16" s="23" t="s">
        <v>160</v>
      </c>
    </row>
    <row r="17" ht="30" customHeight="1" spans="1:7" x14ac:dyDescent="0.25">
      <c r="A17" s="22">
        <v>4</v>
      </c>
      <c r="B17" s="22" t="s">
        <v>161</v>
      </c>
      <c r="C17" s="22"/>
      <c r="D17" s="22"/>
      <c r="E17" s="22"/>
      <c r="F17" s="22"/>
      <c r="G17" s="23" t="s">
        <v>162</v>
      </c>
    </row>
    <row r="18" ht="30" customHeight="1" spans="1:7" x14ac:dyDescent="0.25">
      <c r="A18" s="22">
        <v>5</v>
      </c>
      <c r="B18" s="22" t="s">
        <v>163</v>
      </c>
      <c r="C18" s="22"/>
      <c r="D18" s="22"/>
      <c r="E18" s="22"/>
      <c r="F18" s="22"/>
      <c r="G18" s="23" t="s">
        <v>164</v>
      </c>
    </row>
    <row r="20" spans="1:1" x14ac:dyDescent="0.25">
      <c r="A20" s="9" t="s">
        <v>165</v>
      </c>
    </row>
    <row r="21" ht="30" customHeight="1" spans="1:6" x14ac:dyDescent="0.25">
      <c r="A21" s="11" t="s">
        <v>166</v>
      </c>
      <c r="B21" s="11" t="s">
        <v>167</v>
      </c>
      <c r="C21" s="11" t="s">
        <v>168</v>
      </c>
      <c r="D21" s="11" t="s">
        <v>169</v>
      </c>
      <c r="E21" s="11" t="s">
        <v>170</v>
      </c>
      <c r="F21" s="11" t="s">
        <v>171</v>
      </c>
    </row>
    <row r="22" ht="22" customHeight="1" spans="1:6" x14ac:dyDescent="0.25">
      <c r="A22" s="24" t="s">
        <v>172</v>
      </c>
      <c r="B22" s="25" t="s">
        <v>173</v>
      </c>
      <c r="C22" s="26" t="s">
        <v>174</v>
      </c>
      <c r="D22" s="26" t="s">
        <v>175</v>
      </c>
      <c r="E22" s="27" t="s">
        <v>176</v>
      </c>
      <c r="F22" s="27" t="s">
        <v>177</v>
      </c>
    </row>
    <row r="23" ht="22" customHeight="1" spans="1:6" x14ac:dyDescent="0.25">
      <c r="A23" s="24" t="s">
        <v>178</v>
      </c>
      <c r="B23" s="28" t="s">
        <v>179</v>
      </c>
      <c r="C23" s="25" t="s">
        <v>180</v>
      </c>
      <c r="D23" s="26" t="s">
        <v>181</v>
      </c>
      <c r="E23" s="27" t="s">
        <v>182</v>
      </c>
      <c r="F23" s="27" t="s">
        <v>176</v>
      </c>
    </row>
    <row r="24" ht="22" customHeight="1" spans="1:6" x14ac:dyDescent="0.25">
      <c r="A24" s="24" t="s">
        <v>183</v>
      </c>
      <c r="B24" s="28" t="s">
        <v>184</v>
      </c>
      <c r="C24" s="25" t="s">
        <v>185</v>
      </c>
      <c r="D24" s="25" t="s">
        <v>186</v>
      </c>
      <c r="E24" s="26" t="s">
        <v>181</v>
      </c>
      <c r="F24" s="26" t="s">
        <v>175</v>
      </c>
    </row>
    <row r="25" ht="22" customHeight="1" spans="1:6" x14ac:dyDescent="0.25">
      <c r="A25" s="24" t="s">
        <v>168</v>
      </c>
      <c r="B25" s="28" t="s">
        <v>187</v>
      </c>
      <c r="C25" s="28" t="s">
        <v>179</v>
      </c>
      <c r="D25" s="25" t="s">
        <v>185</v>
      </c>
      <c r="E25" s="25" t="s">
        <v>180</v>
      </c>
      <c r="F25" s="26" t="s">
        <v>174</v>
      </c>
    </row>
    <row r="26" ht="22" customHeight="1" spans="1:6" x14ac:dyDescent="0.25">
      <c r="A26" s="24" t="s">
        <v>188</v>
      </c>
      <c r="B26" s="28" t="s">
        <v>189</v>
      </c>
      <c r="C26" s="28" t="s">
        <v>187</v>
      </c>
      <c r="D26" s="28" t="s">
        <v>184</v>
      </c>
      <c r="E26" s="28" t="s">
        <v>179</v>
      </c>
      <c r="F26" s="25" t="s">
        <v>173</v>
      </c>
    </row>
    <row r="28" spans="1:1" x14ac:dyDescent="0.25">
      <c r="A28" s="9" t="s">
        <v>190</v>
      </c>
    </row>
    <row r="29" ht="30" customHeight="1" spans="1:7" x14ac:dyDescent="0.25">
      <c r="A29" s="11" t="s">
        <v>42</v>
      </c>
      <c r="B29" s="11" t="s">
        <v>191</v>
      </c>
      <c r="C29" s="11" t="s">
        <v>192</v>
      </c>
      <c r="D29" s="11" t="s">
        <v>143</v>
      </c>
      <c r="E29" s="11" t="s">
        <v>143</v>
      </c>
      <c r="F29" s="11" t="s">
        <v>143</v>
      </c>
      <c r="G29" s="11" t="s">
        <v>193</v>
      </c>
    </row>
    <row r="30" ht="30" customHeight="1" spans="1:7" x14ac:dyDescent="0.25">
      <c r="A30" s="29" t="s">
        <v>194</v>
      </c>
      <c r="B30" s="30">
        <v>1</v>
      </c>
      <c r="C30" s="30">
        <v>4</v>
      </c>
      <c r="G30" s="30" t="s">
        <v>195</v>
      </c>
    </row>
    <row r="31" ht="30" customHeight="1" spans="1:7" x14ac:dyDescent="0.25">
      <c r="A31" s="31" t="s">
        <v>196</v>
      </c>
      <c r="B31" s="30">
        <v>5</v>
      </c>
      <c r="C31" s="30">
        <v>9</v>
      </c>
      <c r="G31" s="30" t="s">
        <v>197</v>
      </c>
    </row>
    <row r="32" ht="30" customHeight="1" spans="1:7" x14ac:dyDescent="0.25">
      <c r="A32" s="32" t="s">
        <v>198</v>
      </c>
      <c r="B32" s="30">
        <v>10</v>
      </c>
      <c r="C32" s="30">
        <v>15</v>
      </c>
      <c r="G32" s="30" t="s">
        <v>199</v>
      </c>
    </row>
    <row r="33" ht="30" customHeight="1" spans="1:7" x14ac:dyDescent="0.25">
      <c r="A33" s="33" t="s">
        <v>200</v>
      </c>
      <c r="B33" s="30">
        <v>16</v>
      </c>
      <c r="C33" s="30">
        <v>25</v>
      </c>
      <c r="G33" s="30" t="s">
        <v>201</v>
      </c>
    </row>
    <row r="35" spans="1:1" x14ac:dyDescent="0.25">
      <c r="A35" s="9" t="s">
        <v>202</v>
      </c>
    </row>
    <row r="36" spans="1:7" x14ac:dyDescent="0.25">
      <c r="A36" s="34" t="s">
        <v>57</v>
      </c>
      <c r="B36" s="35" t="s">
        <v>203</v>
      </c>
      <c r="C36" s="35"/>
      <c r="D36" s="35"/>
      <c r="E36" s="35"/>
      <c r="F36" s="35"/>
      <c r="G36" s="35"/>
    </row>
    <row r="37" spans="1:7" x14ac:dyDescent="0.25">
      <c r="A37" s="34" t="s">
        <v>204</v>
      </c>
      <c r="B37" s="35" t="s">
        <v>205</v>
      </c>
      <c r="C37" s="35"/>
      <c r="D37" s="35"/>
      <c r="E37" s="35"/>
      <c r="F37" s="35"/>
      <c r="G37" s="35"/>
    </row>
    <row r="38" spans="1:7" x14ac:dyDescent="0.25">
      <c r="A38" s="34" t="s">
        <v>83</v>
      </c>
      <c r="B38" s="35" t="s">
        <v>206</v>
      </c>
      <c r="C38" s="35"/>
      <c r="D38" s="35"/>
      <c r="E38" s="35"/>
      <c r="F38" s="35"/>
      <c r="G38" s="35"/>
    </row>
    <row r="39" spans="1:7" x14ac:dyDescent="0.25">
      <c r="A39" s="34" t="s">
        <v>90</v>
      </c>
      <c r="B39" s="35" t="s">
        <v>207</v>
      </c>
      <c r="C39" s="35"/>
      <c r="D39" s="35"/>
      <c r="E39" s="35"/>
      <c r="F39" s="35"/>
      <c r="G39" s="35"/>
    </row>
  </sheetData>
  <mergeCells count="15">
    <mergeCell ref="A2:G2"/>
    <mergeCell ref="B6:F6"/>
    <mergeCell ref="B7:F7"/>
    <mergeCell ref="B8:F8"/>
    <mergeCell ref="B9:F9"/>
    <mergeCell ref="B10:F10"/>
    <mergeCell ref="B14:F14"/>
    <mergeCell ref="B15:F15"/>
    <mergeCell ref="B16:F16"/>
    <mergeCell ref="B17:F17"/>
    <mergeCell ref="B18:F18"/>
    <mergeCell ref="B36:G36"/>
    <mergeCell ref="B37:G37"/>
    <mergeCell ref="B38:G38"/>
    <mergeCell ref="B39:G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239"/>
  </sheetPr>
  <dimension ref="A1:C12"/>
  <sheetViews>
    <sheetView workbookViewId="0" showGridLines="0"/>
  </sheetViews>
  <sheetFormatPr defaultRowHeight="15" outlineLevelRow="0" outlineLevelCol="0" x14ac:dyDescent="55"/>
  <cols>
    <col min="1" max="1" width="22" customWidth="1"/>
    <col min="2" max="3" width="18" customWidth="1"/>
  </cols>
  <sheetData>
    <row r="1" spans="1:1" x14ac:dyDescent="0.25">
      <c r="A1" s="20" t="s">
        <v>208</v>
      </c>
    </row>
    <row r="2" spans="1:1" x14ac:dyDescent="0.25">
      <c r="A2" s="10" t="s">
        <v>209</v>
      </c>
    </row>
    <row r="4" ht="30" customHeight="1" spans="1:3" x14ac:dyDescent="0.25">
      <c r="A4" s="11" t="s">
        <v>42</v>
      </c>
      <c r="B4" s="11" t="s">
        <v>210</v>
      </c>
      <c r="C4" s="11" t="s">
        <v>211</v>
      </c>
    </row>
    <row r="5" spans="1:3" x14ac:dyDescent="0.25">
      <c r="A5" s="36" t="s">
        <v>194</v>
      </c>
      <c r="B5" s="37">
        <f>COUNTIF(Risicoregister!$J$4:$J$53,"✓ Laag")</f>
      </c>
      <c r="C5" s="37">
        <f>COUNTIF(Risicoregister!$P$4:$P$53,"*✓ Laag")</f>
      </c>
    </row>
    <row r="6" spans="1:3" x14ac:dyDescent="0.25">
      <c r="A6" s="38" t="s">
        <v>196</v>
      </c>
      <c r="B6" s="37">
        <f>COUNTIF(Risicoregister!$J$4:$J$53,"! Midden")</f>
      </c>
      <c r="C6" s="37">
        <f>COUNTIF(Risicoregister!$P$4:$P$53,"*! Midden")</f>
      </c>
    </row>
    <row r="7" spans="1:3" x14ac:dyDescent="0.25">
      <c r="A7" s="39" t="s">
        <v>198</v>
      </c>
      <c r="B7" s="37">
        <f>COUNTIF(Risicoregister!$J$4:$J$53,"! Hoog")</f>
      </c>
      <c r="C7" s="37">
        <f>COUNTIF(Risicoregister!$P$4:$P$53,"*! Hoog")</f>
      </c>
    </row>
    <row r="8" spans="1:3" x14ac:dyDescent="0.25">
      <c r="A8" s="40" t="s">
        <v>200</v>
      </c>
      <c r="B8" s="37">
        <f>COUNTIF(Risicoregister!$J$4:$J$53,"✕ Zeer hoog")</f>
      </c>
      <c r="C8" s="37">
        <f>COUNTIF(Risicoregister!$P$4:$P$53,"*✕ Zeer hoog")</f>
      </c>
    </row>
    <row r="9" spans="1:3" x14ac:dyDescent="0.25">
      <c r="A9" s="41" t="s">
        <v>212</v>
      </c>
      <c r="B9" s="42">
        <f>SUM(B5:B8)</f>
      </c>
      <c r="C9" s="42">
        <f>SUM(C5:C8)</f>
      </c>
    </row>
    <row r="11" ht="32" customHeight="1" spans="1:3" x14ac:dyDescent="0.25">
      <c r="A11" s="43" t="s">
        <v>213</v>
      </c>
      <c r="B11" s="43"/>
      <c r="C11" s="43"/>
    </row>
    <row r="12" spans="1:1" x14ac:dyDescent="0.25">
      <c r="A12" s="44" t="s">
        <v>214</v>
      </c>
    </row>
  </sheetData>
  <mergeCells count="1">
    <mergeCell ref="A11:C11"/>
  </mergeCells>
  <hyperlinks>
    <hyperlink ref="A1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</vt:lpstr>
      <vt:lpstr>Risicoregister</vt:lpstr>
      <vt:lpstr>Criteria</vt:lpstr>
      <vt:lpstr>Overzicht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MaasISO</dc:creator>
  <dc:title>Risicoanalyse ISO 27001</dc:title>
  <dc:subject/>
  <dc:description/>
  <cp:keywords/>
  <cp:category/>
  <cp:lastModifiedBy>Unknown</cp:lastModifiedBy>
  <dcterms:created xsi:type="dcterms:W3CDTF">2026-10-18T12:00:00Z</dcterms:created>
  <dcterms:modified xsi:type="dcterms:W3CDTF">2026-10-18T12:00:00Z</dcterms:modified>
</cp:coreProperties>
</file>